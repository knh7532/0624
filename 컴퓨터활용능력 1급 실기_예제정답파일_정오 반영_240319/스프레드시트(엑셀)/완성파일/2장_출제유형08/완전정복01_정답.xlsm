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2장_출제유형08\"/>
    </mc:Choice>
  </mc:AlternateContent>
  <bookViews>
    <workbookView xWindow="0" yWindow="0" windowWidth="28800" windowHeight="12255"/>
  </bookViews>
  <sheets>
    <sheet name="계산작업-8" sheetId="4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4" l="1"/>
  <c r="D16" i="4"/>
  <c r="D15" i="4"/>
  <c r="F15" i="4" s="1"/>
  <c r="F14" i="4"/>
  <c r="D14" i="4"/>
  <c r="D13" i="4"/>
  <c r="F13" i="4" s="1"/>
  <c r="F12" i="4"/>
  <c r="D12" i="4"/>
  <c r="D11" i="4"/>
  <c r="F11" i="4" s="1"/>
  <c r="F10" i="4"/>
  <c r="D10" i="4"/>
  <c r="D9" i="4"/>
  <c r="F9" i="4" s="1"/>
  <c r="E5" i="4"/>
  <c r="B5" i="4"/>
</calcChain>
</file>

<file path=xl/sharedStrings.xml><?xml version="1.0" encoding="utf-8"?>
<sst xmlns="http://schemas.openxmlformats.org/spreadsheetml/2006/main" count="25" uniqueCount="23">
  <si>
    <t>구매자</t>
    <phoneticPr fontId="2" type="noConversion"/>
  </si>
  <si>
    <t>수량</t>
    <phoneticPr fontId="2" type="noConversion"/>
  </si>
  <si>
    <t>단가</t>
    <phoneticPr fontId="2" type="noConversion"/>
  </si>
  <si>
    <t>판매금액</t>
    <phoneticPr fontId="2" type="noConversion"/>
  </si>
  <si>
    <t>방선우</t>
  </si>
  <si>
    <t>유리마</t>
  </si>
  <si>
    <t>김형철</t>
  </si>
  <si>
    <t>백준희</t>
  </si>
  <si>
    <t>김환영</t>
  </si>
  <si>
    <t>노선민</t>
  </si>
  <si>
    <t>이하영</t>
    <phoneticPr fontId="2" type="noConversion"/>
  </si>
  <si>
    <t>김하나</t>
    <phoneticPr fontId="2" type="noConversion"/>
  </si>
  <si>
    <t>[표1] FV</t>
    <phoneticPr fontId="2" type="noConversion"/>
  </si>
  <si>
    <t>[표2] PV</t>
    <phoneticPr fontId="2" type="noConversion"/>
  </si>
  <si>
    <t>연이율</t>
    <phoneticPr fontId="2" type="noConversion"/>
  </si>
  <si>
    <t>기간</t>
    <phoneticPr fontId="2" type="noConversion"/>
  </si>
  <si>
    <t>월불입액</t>
    <phoneticPr fontId="2" type="noConversion"/>
  </si>
  <si>
    <t>월지급액</t>
    <phoneticPr fontId="2" type="noConversion"/>
  </si>
  <si>
    <t>만기금액</t>
    <phoneticPr fontId="2" type="noConversion"/>
  </si>
  <si>
    <t>현재가치</t>
    <phoneticPr fontId="2" type="noConversion"/>
  </si>
  <si>
    <t>[표3] PMT</t>
    <phoneticPr fontId="2" type="noConversion"/>
  </si>
  <si>
    <t>할부기간(월)</t>
    <phoneticPr fontId="2" type="noConversion"/>
  </si>
  <si>
    <t>할부금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</si>
</sst>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₩&quot;#,##0;[Red]\-&quot;₩&quot;#,##0"/>
    <numFmt numFmtId="41" formatCode="_-* #,##0_-;\-* #,##0_-;_-* &quot;-&quot;_-;_-@_-"/>
    <numFmt numFmtId="186" formatCode="General&quot;년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/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186" fontId="0" fillId="0" borderId="1" xfId="0" applyNumberFormat="1" applyBorder="1">
      <alignment vertical="center"/>
    </xf>
    <xf numFmtId="0" fontId="3" fillId="2" borderId="1" xfId="0" applyFont="1" applyFill="1" applyBorder="1">
      <alignment vertical="center"/>
    </xf>
    <xf numFmtId="6" fontId="0" fillId="0" borderId="1" xfId="0" applyNumberFormat="1" applyBorder="1">
      <alignment vertical="center"/>
    </xf>
  </cellXfs>
  <cellStyles count="8">
    <cellStyle name="쉼표 [0]" xfId="1" builtinId="6"/>
    <cellStyle name="쉼표 [0] 2" xfId="7"/>
    <cellStyle name="쉼표 [0] 2 2" xfId="2"/>
    <cellStyle name="쉼표 [0] 3" xfId="5"/>
    <cellStyle name="쉼표 [0] 3 2" xfId="6"/>
    <cellStyle name="표준" xfId="0" builtinId="0"/>
    <cellStyle name="표준 2" xfId="3"/>
    <cellStyle name="표준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o404/Desktop/&#47784;&#51032;&#44256;&#49324;_&#44592;&#52636;&#47928;&#51228;(&#52980;&#54876;%201&#44553;%20&#49892;&#44592;)/&#47700;&#45684;&#50620;/16.&#51060;&#47200;/&#44592;&#48376;&#51089;&#50629;_&#47928;&#512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부데이터-1"/>
      <sheetName val="외부데이터-2"/>
      <sheetName val="고급필터-1"/>
      <sheetName val="고급필터-2"/>
      <sheetName val="조건부서식-1"/>
      <sheetName val="조건부서식-2"/>
      <sheetName val="시트보호-1"/>
      <sheetName val="시트보호-2"/>
      <sheetName val="페이지레이아웃-1"/>
      <sheetName val="페이지레이아웃-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E2" t="str">
            <v>연봉</v>
          </cell>
        </row>
        <row r="3">
          <cell r="A3" t="str">
            <v>강원철</v>
          </cell>
          <cell r="E3">
            <v>28900000</v>
          </cell>
        </row>
        <row r="4">
          <cell r="A4" t="str">
            <v>강진용</v>
          </cell>
          <cell r="E4">
            <v>19100000</v>
          </cell>
        </row>
        <row r="5">
          <cell r="A5" t="str">
            <v>구자춘</v>
          </cell>
          <cell r="E5">
            <v>37000000</v>
          </cell>
        </row>
        <row r="6">
          <cell r="A6" t="str">
            <v>권부규</v>
          </cell>
          <cell r="E6">
            <v>37900000</v>
          </cell>
        </row>
        <row r="7">
          <cell r="A7" t="str">
            <v>김진규</v>
          </cell>
          <cell r="E7">
            <v>21200000</v>
          </cell>
        </row>
        <row r="8">
          <cell r="A8" t="str">
            <v>김한일</v>
          </cell>
          <cell r="E8">
            <v>20000000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6"/>
  <sheetViews>
    <sheetView tabSelected="1" workbookViewId="0">
      <selection activeCell="O10" sqref="O10"/>
    </sheetView>
  </sheetViews>
  <sheetFormatPr defaultRowHeight="16.5" x14ac:dyDescent="0.3"/>
  <cols>
    <col min="1" max="4" width="10.75" customWidth="1"/>
    <col min="5" max="5" width="11.75" bestFit="1" customWidth="1"/>
    <col min="6" max="6" width="10.75" customWidth="1"/>
  </cols>
  <sheetData>
    <row r="1" spans="1:6" x14ac:dyDescent="0.3">
      <c r="A1" s="2" t="s">
        <v>12</v>
      </c>
      <c r="D1" s="2" t="s">
        <v>13</v>
      </c>
    </row>
    <row r="2" spans="1:6" x14ac:dyDescent="0.3">
      <c r="A2" s="5" t="s">
        <v>14</v>
      </c>
      <c r="B2" s="6">
        <v>0.02</v>
      </c>
      <c r="D2" s="5" t="s">
        <v>14</v>
      </c>
      <c r="E2" s="6">
        <v>0.05</v>
      </c>
    </row>
    <row r="3" spans="1:6" x14ac:dyDescent="0.3">
      <c r="A3" s="5" t="s">
        <v>15</v>
      </c>
      <c r="B3" s="7">
        <v>3</v>
      </c>
      <c r="D3" s="5" t="s">
        <v>15</v>
      </c>
      <c r="E3" s="7">
        <v>30</v>
      </c>
    </row>
    <row r="4" spans="1:6" x14ac:dyDescent="0.3">
      <c r="A4" s="5" t="s">
        <v>16</v>
      </c>
      <c r="B4" s="4">
        <v>100000</v>
      </c>
      <c r="D4" s="5" t="s">
        <v>17</v>
      </c>
      <c r="E4" s="4">
        <v>500000</v>
      </c>
    </row>
    <row r="5" spans="1:6" x14ac:dyDescent="0.3">
      <c r="A5" s="8" t="s">
        <v>18</v>
      </c>
      <c r="B5" s="9">
        <f>FV(B2/12,B3*12,-B4,,1)</f>
        <v>3713189.2490745485</v>
      </c>
      <c r="D5" s="8" t="s">
        <v>19</v>
      </c>
      <c r="E5" s="9">
        <f>PV(E2/12,E3*12,-E4)</f>
        <v>93140808.52303791</v>
      </c>
    </row>
    <row r="7" spans="1:6" x14ac:dyDescent="0.3">
      <c r="A7" s="2" t="s">
        <v>20</v>
      </c>
    </row>
    <row r="8" spans="1:6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21</v>
      </c>
      <c r="F8" s="3" t="s">
        <v>22</v>
      </c>
    </row>
    <row r="9" spans="1:6" x14ac:dyDescent="0.3">
      <c r="A9" s="1" t="s">
        <v>4</v>
      </c>
      <c r="B9" s="5">
        <v>50</v>
      </c>
      <c r="C9" s="4">
        <v>3500</v>
      </c>
      <c r="D9" s="4">
        <f>B9*C9</f>
        <v>175000</v>
      </c>
      <c r="E9" s="5">
        <v>3</v>
      </c>
      <c r="F9" s="9">
        <f>ROUNDDOWN(PMT(3%/12,E9,-D9),-1)</f>
        <v>58620</v>
      </c>
    </row>
    <row r="10" spans="1:6" x14ac:dyDescent="0.3">
      <c r="A10" s="1" t="s">
        <v>5</v>
      </c>
      <c r="B10" s="5">
        <v>30</v>
      </c>
      <c r="C10" s="4">
        <v>4000</v>
      </c>
      <c r="D10" s="4">
        <f t="shared" ref="D10:D16" si="0">B10*C10</f>
        <v>120000</v>
      </c>
      <c r="E10" s="5">
        <v>2</v>
      </c>
      <c r="F10" s="9">
        <f t="shared" ref="F10:F16" si="1">ROUNDDOWN(PMT(3%/12,E10,-D10),-1)</f>
        <v>60220</v>
      </c>
    </row>
    <row r="11" spans="1:6" x14ac:dyDescent="0.3">
      <c r="A11" s="1" t="s">
        <v>6</v>
      </c>
      <c r="B11" s="5">
        <v>20</v>
      </c>
      <c r="C11" s="4">
        <v>5000</v>
      </c>
      <c r="D11" s="4">
        <f t="shared" si="0"/>
        <v>100000</v>
      </c>
      <c r="E11" s="5">
        <v>5</v>
      </c>
      <c r="F11" s="9">
        <f t="shared" si="1"/>
        <v>20150</v>
      </c>
    </row>
    <row r="12" spans="1:6" x14ac:dyDescent="0.3">
      <c r="A12" s="1" t="s">
        <v>7</v>
      </c>
      <c r="B12" s="5">
        <v>10</v>
      </c>
      <c r="C12" s="4">
        <v>5500</v>
      </c>
      <c r="D12" s="4">
        <f t="shared" si="0"/>
        <v>55000</v>
      </c>
      <c r="E12" s="5">
        <v>3</v>
      </c>
      <c r="F12" s="9">
        <f t="shared" si="1"/>
        <v>18420</v>
      </c>
    </row>
    <row r="13" spans="1:6" x14ac:dyDescent="0.3">
      <c r="A13" s="1" t="s">
        <v>8</v>
      </c>
      <c r="B13" s="5">
        <v>55</v>
      </c>
      <c r="C13" s="4">
        <v>8000</v>
      </c>
      <c r="D13" s="4">
        <f t="shared" si="0"/>
        <v>440000</v>
      </c>
      <c r="E13" s="5">
        <v>12</v>
      </c>
      <c r="F13" s="9">
        <f t="shared" si="1"/>
        <v>37260</v>
      </c>
    </row>
    <row r="14" spans="1:6" x14ac:dyDescent="0.3">
      <c r="A14" s="1" t="s">
        <v>9</v>
      </c>
      <c r="B14" s="5">
        <v>80</v>
      </c>
      <c r="C14" s="4">
        <v>3500</v>
      </c>
      <c r="D14" s="4">
        <f t="shared" si="0"/>
        <v>280000</v>
      </c>
      <c r="E14" s="5">
        <v>9</v>
      </c>
      <c r="F14" s="9">
        <f t="shared" si="1"/>
        <v>31500</v>
      </c>
    </row>
    <row r="15" spans="1:6" x14ac:dyDescent="0.3">
      <c r="A15" s="1" t="s">
        <v>10</v>
      </c>
      <c r="B15" s="5">
        <v>100</v>
      </c>
      <c r="C15" s="4">
        <v>2000</v>
      </c>
      <c r="D15" s="4">
        <f t="shared" si="0"/>
        <v>200000</v>
      </c>
      <c r="E15" s="5">
        <v>2</v>
      </c>
      <c r="F15" s="9">
        <f t="shared" si="1"/>
        <v>100370</v>
      </c>
    </row>
    <row r="16" spans="1:6" x14ac:dyDescent="0.3">
      <c r="A16" s="1" t="s">
        <v>11</v>
      </c>
      <c r="B16" s="5">
        <v>24</v>
      </c>
      <c r="C16" s="4">
        <v>2500</v>
      </c>
      <c r="D16" s="4">
        <f t="shared" si="0"/>
        <v>60000</v>
      </c>
      <c r="E16" s="5">
        <v>6</v>
      </c>
      <c r="F16" s="9">
        <f t="shared" si="1"/>
        <v>10080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cp:lastPrinted>2020-10-28T05:41:21Z</cp:lastPrinted>
  <dcterms:created xsi:type="dcterms:W3CDTF">2020-10-28T04:59:21Z</dcterms:created>
  <dcterms:modified xsi:type="dcterms:W3CDTF">2020-10-28T06:11:55Z</dcterms:modified>
</cp:coreProperties>
</file>