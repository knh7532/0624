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컴활1급 엑셀 영상\정정 요청\2장_출제유형11\"/>
    </mc:Choice>
  </mc:AlternateContent>
  <xr:revisionPtr revIDLastSave="0" documentId="8_{A1F82483-97DF-41E7-A871-0AAEA50F3FF6}" xr6:coauthVersionLast="47" xr6:coauthVersionMax="47" xr10:uidLastSave="{00000000-0000-0000-0000-000000000000}"/>
  <bookViews>
    <workbookView xWindow="28800" yWindow="0" windowWidth="28800" windowHeight="11775" xr2:uid="{00000000-000D-0000-FFFF-FFFF00000000}"/>
  </bookViews>
  <sheets>
    <sheet name="계산작업-14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C28" i="1" a="1"/>
  <c r="C28" i="1" s="1"/>
  <c r="C29" i="1" a="1"/>
  <c r="C29" i="1" s="1"/>
  <c r="C30" i="1" a="1"/>
  <c r="C30" i="1" s="1"/>
  <c r="B29" i="1" a="1"/>
  <c r="B29" i="1" s="1"/>
  <c r="B30" i="1" a="1"/>
  <c r="B30" i="1"/>
  <c r="B28" i="1" a="1"/>
  <c r="B28" i="1" s="1"/>
  <c r="L21" i="1" a="1"/>
  <c r="L21" i="1" s="1"/>
  <c r="G21" i="1"/>
  <c r="F22" i="1"/>
  <c r="H22" i="1"/>
  <c r="G23" i="1"/>
  <c r="E23" i="1"/>
  <c r="F21" i="1"/>
  <c r="G22" i="1"/>
  <c r="H21" i="1"/>
  <c r="F23" i="1"/>
  <c r="E22" i="1"/>
  <c r="H23" i="1"/>
  <c r="E21" i="1"/>
  <c r="H3" i="1"/>
  <c r="L24" i="1" a="1"/>
  <c r="L24" i="1" s="1"/>
  <c r="L23" i="1" a="1"/>
  <c r="L23" i="1" s="1"/>
  <c r="L22" i="1" a="1"/>
  <c r="L22" i="1" s="1"/>
  <c r="J8" i="1"/>
  <c r="J12" i="1"/>
  <c r="J4" i="1"/>
  <c r="J16" i="1"/>
  <c r="J5" i="1"/>
  <c r="J9" i="1"/>
  <c r="J15" i="1"/>
  <c r="J13" i="1"/>
  <c r="J7" i="1"/>
  <c r="J6" i="1"/>
  <c r="J17" i="1"/>
  <c r="J10" i="1"/>
  <c r="J11" i="1"/>
  <c r="J3" i="1"/>
  <c r="J14" i="1"/>
</calcChain>
</file>

<file path=xl/sharedStrings.xml><?xml version="1.0" encoding="utf-8"?>
<sst xmlns="http://schemas.openxmlformats.org/spreadsheetml/2006/main" count="99" uniqueCount="62">
  <si>
    <t>[표1]</t>
    <phoneticPr fontId="2" type="noConversion"/>
  </si>
  <si>
    <t>기준일 :</t>
    <phoneticPr fontId="2" type="noConversion"/>
  </si>
  <si>
    <t>제품코드</t>
    <phoneticPr fontId="2" type="noConversion"/>
  </si>
  <si>
    <t>제품명</t>
    <phoneticPr fontId="2" type="noConversion"/>
  </si>
  <si>
    <t>구분</t>
    <phoneticPr fontId="2" type="noConversion"/>
  </si>
  <si>
    <t>판매가</t>
    <phoneticPr fontId="2" type="noConversion"/>
  </si>
  <si>
    <t>제조일</t>
    <phoneticPr fontId="2" type="noConversion"/>
  </si>
  <si>
    <t>보존기간(개월)</t>
    <phoneticPr fontId="2" type="noConversion"/>
  </si>
  <si>
    <t>할인가</t>
    <phoneticPr fontId="2" type="noConversion"/>
  </si>
  <si>
    <t>판매량</t>
    <phoneticPr fontId="2" type="noConversion"/>
  </si>
  <si>
    <t>비고</t>
    <phoneticPr fontId="2" type="noConversion"/>
  </si>
  <si>
    <t>기능성</t>
    <phoneticPr fontId="2" type="noConversion"/>
  </si>
  <si>
    <t>[표2] 할인율</t>
    <phoneticPr fontId="2" type="noConversion"/>
  </si>
  <si>
    <t>남은기간</t>
    <phoneticPr fontId="2" type="noConversion"/>
  </si>
  <si>
    <t>할인율</t>
    <phoneticPr fontId="2" type="noConversion"/>
  </si>
  <si>
    <t>코드</t>
    <phoneticPr fontId="2" type="noConversion"/>
  </si>
  <si>
    <t>비율</t>
    <phoneticPr fontId="2" type="noConversion"/>
  </si>
  <si>
    <t>[표5] 구분별 최고가 제품</t>
    <phoneticPr fontId="2" type="noConversion"/>
  </si>
  <si>
    <t>시카 버블 토너</t>
    <phoneticPr fontId="2" type="noConversion"/>
  </si>
  <si>
    <t>리바이탈 주름 개선 로션</t>
    <phoneticPr fontId="2" type="noConversion"/>
  </si>
  <si>
    <t>데일리 모이스쳐 로션</t>
    <phoneticPr fontId="2" type="noConversion"/>
  </si>
  <si>
    <t>프로바이오틱 폼클렌징</t>
    <phoneticPr fontId="2" type="noConversion"/>
  </si>
  <si>
    <t>콜라겐 클리어 폼클렌징</t>
    <phoneticPr fontId="2" type="noConversion"/>
  </si>
  <si>
    <t>독도 클렌져</t>
    <phoneticPr fontId="2" type="noConversion"/>
  </si>
  <si>
    <t>워터리 수분크림</t>
    <phoneticPr fontId="2" type="noConversion"/>
  </si>
  <si>
    <t>블랙 스네일 크림</t>
    <phoneticPr fontId="2" type="noConversion"/>
  </si>
  <si>
    <t>기초</t>
    <phoneticPr fontId="2" type="noConversion"/>
  </si>
  <si>
    <t>클렌징</t>
    <phoneticPr fontId="2" type="noConversion"/>
  </si>
  <si>
    <t>영양 콜라겐 크림</t>
    <phoneticPr fontId="2" type="noConversion"/>
  </si>
  <si>
    <t>멀티 골드 리프팅 크림</t>
    <phoneticPr fontId="2" type="noConversion"/>
  </si>
  <si>
    <t>A사</t>
    <phoneticPr fontId="2" type="noConversion"/>
  </si>
  <si>
    <t>B사</t>
    <phoneticPr fontId="2" type="noConversion"/>
  </si>
  <si>
    <t>C사</t>
    <phoneticPr fontId="2" type="noConversion"/>
  </si>
  <si>
    <t>D사</t>
    <phoneticPr fontId="2" type="noConversion"/>
  </si>
  <si>
    <t>로즈 워터 토너</t>
    <phoneticPr fontId="2" type="noConversion"/>
  </si>
  <si>
    <t>크림 스킨</t>
    <phoneticPr fontId="2" type="noConversion"/>
  </si>
  <si>
    <t>천연 클렌징 오일</t>
    <phoneticPr fontId="2" type="noConversion"/>
  </si>
  <si>
    <t>수딩 로션</t>
    <phoneticPr fontId="2" type="noConversion"/>
  </si>
  <si>
    <t>퓨어 클렌징 오일</t>
    <phoneticPr fontId="2" type="noConversion"/>
  </si>
  <si>
    <t>제조사</t>
    <phoneticPr fontId="2" type="noConversion"/>
  </si>
  <si>
    <t>AE3230P</t>
    <phoneticPr fontId="2" type="noConversion"/>
  </si>
  <si>
    <t>[표4] 피부타입별 비율</t>
    <phoneticPr fontId="2" type="noConversion"/>
  </si>
  <si>
    <t>건성</t>
    <phoneticPr fontId="2" type="noConversion"/>
  </si>
  <si>
    <t>지성</t>
    <phoneticPr fontId="2" type="noConversion"/>
  </si>
  <si>
    <t>수부지</t>
    <phoneticPr fontId="2" type="noConversion"/>
  </si>
  <si>
    <t>복합성</t>
    <phoneticPr fontId="2" type="noConversion"/>
  </si>
  <si>
    <t>AT1310P</t>
    <phoneticPr fontId="2" type="noConversion"/>
  </si>
  <si>
    <t>BS2320P</t>
    <phoneticPr fontId="2" type="noConversion"/>
  </si>
  <si>
    <t>DE8210P</t>
    <phoneticPr fontId="2" type="noConversion"/>
  </si>
  <si>
    <t>BC7340P</t>
    <phoneticPr fontId="2" type="noConversion"/>
  </si>
  <si>
    <t>BC3830Q</t>
    <phoneticPr fontId="2" type="noConversion"/>
  </si>
  <si>
    <t>AT4910P</t>
    <phoneticPr fontId="2" type="noConversion"/>
  </si>
  <si>
    <t>AC4920P</t>
    <phoneticPr fontId="2" type="noConversion"/>
  </si>
  <si>
    <t>DC2330P</t>
    <phoneticPr fontId="2" type="noConversion"/>
  </si>
  <si>
    <t>DC5530P</t>
    <phoneticPr fontId="2" type="noConversion"/>
  </si>
  <si>
    <t>AC4910P</t>
    <phoneticPr fontId="2" type="noConversion"/>
  </si>
  <si>
    <t>CC3810P</t>
    <phoneticPr fontId="2" type="noConversion"/>
  </si>
  <si>
    <t>CC3930P</t>
    <phoneticPr fontId="2" type="noConversion"/>
  </si>
  <si>
    <t>DC5440P</t>
    <phoneticPr fontId="2" type="noConversion"/>
  </si>
  <si>
    <t>피부타입</t>
    <phoneticPr fontId="2" type="noConversion"/>
  </si>
  <si>
    <t>CE9320Q</t>
    <phoneticPr fontId="2" type="noConversion"/>
  </si>
  <si>
    <t>[표3] 구분별 제조사별 판매량 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</si>
</sst>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0" fillId="0" borderId="1" xfId="2" applyFont="1" applyBorder="1">
      <alignment vertical="center"/>
    </xf>
    <xf numFmtId="9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30"/>
  <sheetViews>
    <sheetView tabSelected="1" workbookViewId="0">
      <selection activeCell="H3" sqref="H3"/>
    </sheetView>
  </sheetViews>
  <sheetFormatPr defaultRowHeight="16.5"/>
  <cols>
    <col min="1" max="1" width="12.125" bestFit="1" customWidth="1"/>
    <col min="2" max="2" width="22.25" bestFit="1" customWidth="1"/>
    <col min="3" max="3" width="11.75" bestFit="1" customWidth="1"/>
    <col min="4" max="4" width="11.625" customWidth="1"/>
    <col min="5" max="5" width="12.125" bestFit="1" customWidth="1"/>
    <col min="6" max="6" width="10.875" bestFit="1" customWidth="1"/>
    <col min="7" max="7" width="13.625" bestFit="1" customWidth="1"/>
    <col min="8" max="8" width="14.375" bestFit="1" customWidth="1"/>
    <col min="9" max="9" width="9.75" customWidth="1"/>
    <col min="10" max="10" width="10.875" bestFit="1" customWidth="1"/>
    <col min="11" max="11" width="11.125" bestFit="1" customWidth="1"/>
    <col min="12" max="12" width="9.625" customWidth="1"/>
    <col min="14" max="14" width="11.125" customWidth="1"/>
  </cols>
  <sheetData>
    <row r="1" spans="1:11">
      <c r="A1" t="s">
        <v>0</v>
      </c>
      <c r="I1" t="s">
        <v>1</v>
      </c>
      <c r="J1" s="9">
        <v>43368</v>
      </c>
      <c r="K1" s="1"/>
    </row>
    <row r="2" spans="1:11">
      <c r="A2" s="2" t="s">
        <v>2</v>
      </c>
      <c r="B2" s="2" t="s">
        <v>3</v>
      </c>
      <c r="C2" s="11" t="s">
        <v>4</v>
      </c>
      <c r="D2" s="12" t="s">
        <v>39</v>
      </c>
      <c r="E2" s="12" t="s">
        <v>5</v>
      </c>
      <c r="F2" s="12" t="s">
        <v>6</v>
      </c>
      <c r="G2" s="12" t="s">
        <v>7</v>
      </c>
      <c r="H2" s="14" t="s">
        <v>8</v>
      </c>
      <c r="I2" s="12" t="s">
        <v>9</v>
      </c>
      <c r="J2" s="13" t="s">
        <v>10</v>
      </c>
    </row>
    <row r="3" spans="1:11">
      <c r="A3" s="2" t="s">
        <v>46</v>
      </c>
      <c r="B3" s="3" t="s">
        <v>34</v>
      </c>
      <c r="C3" s="2" t="s">
        <v>26</v>
      </c>
      <c r="D3" s="2" t="s">
        <v>30</v>
      </c>
      <c r="E3" s="4">
        <v>35000</v>
      </c>
      <c r="F3" s="5">
        <v>43586</v>
      </c>
      <c r="G3" s="3">
        <v>36</v>
      </c>
      <c r="H3" s="4">
        <f>E3*(1-VLOOKUP(QUOTIENT(EDATE(F3,G3)-$J$1,30),$A$21:$B$24,2))</f>
        <v>31500</v>
      </c>
      <c r="I3" s="3">
        <v>16</v>
      </c>
      <c r="J3" s="2" t="str">
        <f>fn비고(D3,F3)</f>
        <v/>
      </c>
    </row>
    <row r="4" spans="1:11">
      <c r="A4" s="2" t="s">
        <v>47</v>
      </c>
      <c r="B4" s="3" t="s">
        <v>35</v>
      </c>
      <c r="C4" s="2" t="s">
        <v>26</v>
      </c>
      <c r="D4" s="2" t="s">
        <v>31</v>
      </c>
      <c r="E4" s="4">
        <v>28000</v>
      </c>
      <c r="F4" s="5">
        <v>43306</v>
      </c>
      <c r="G4" s="3">
        <v>12</v>
      </c>
      <c r="H4" s="4">
        <f t="shared" ref="H4:H17" si="0">E4*(1-VLOOKUP(QUOTIENT(EDATE(F4,G4)-$J$1,30),$A$21:$B$24,2))</f>
        <v>22400</v>
      </c>
      <c r="I4" s="3">
        <v>22</v>
      </c>
      <c r="J4" s="2" t="str">
        <f t="shared" ref="J4:J17" si="1">fn비고(D4,F4)</f>
        <v/>
      </c>
    </row>
    <row r="5" spans="1:11">
      <c r="A5" s="2" t="s">
        <v>60</v>
      </c>
      <c r="B5" s="3" t="s">
        <v>19</v>
      </c>
      <c r="C5" s="2" t="s">
        <v>11</v>
      </c>
      <c r="D5" s="2" t="s">
        <v>32</v>
      </c>
      <c r="E5" s="4">
        <v>100000</v>
      </c>
      <c r="F5" s="5">
        <v>43495</v>
      </c>
      <c r="G5" s="3">
        <v>24</v>
      </c>
      <c r="H5" s="4">
        <f t="shared" si="0"/>
        <v>90000</v>
      </c>
      <c r="I5" s="3">
        <v>31</v>
      </c>
      <c r="J5" s="2" t="str">
        <f t="shared" si="1"/>
        <v/>
      </c>
    </row>
    <row r="6" spans="1:11">
      <c r="A6" s="2" t="s">
        <v>48</v>
      </c>
      <c r="B6" s="3" t="s">
        <v>20</v>
      </c>
      <c r="C6" s="2" t="s">
        <v>26</v>
      </c>
      <c r="D6" s="2" t="s">
        <v>33</v>
      </c>
      <c r="E6" s="4">
        <v>45000</v>
      </c>
      <c r="F6" s="5">
        <v>43103</v>
      </c>
      <c r="G6" s="3">
        <v>12</v>
      </c>
      <c r="H6" s="4">
        <f t="shared" si="0"/>
        <v>31499.999999999996</v>
      </c>
      <c r="I6" s="3">
        <v>13</v>
      </c>
      <c r="J6" s="2" t="str">
        <f t="shared" si="1"/>
        <v/>
      </c>
    </row>
    <row r="7" spans="1:11">
      <c r="A7" s="2" t="s">
        <v>49</v>
      </c>
      <c r="B7" s="3" t="s">
        <v>36</v>
      </c>
      <c r="C7" s="2" t="s">
        <v>27</v>
      </c>
      <c r="D7" s="2" t="s">
        <v>31</v>
      </c>
      <c r="E7" s="4">
        <v>22000</v>
      </c>
      <c r="F7" s="5">
        <v>43044</v>
      </c>
      <c r="G7" s="3">
        <v>12</v>
      </c>
      <c r="H7" s="4">
        <f t="shared" si="0"/>
        <v>15399.999999999998</v>
      </c>
      <c r="I7" s="3">
        <v>19</v>
      </c>
      <c r="J7" s="2" t="str">
        <f t="shared" si="1"/>
        <v/>
      </c>
    </row>
    <row r="8" spans="1:11">
      <c r="A8" s="2" t="s">
        <v>50</v>
      </c>
      <c r="B8" s="3" t="s">
        <v>28</v>
      </c>
      <c r="C8" s="2" t="s">
        <v>11</v>
      </c>
      <c r="D8" s="2" t="s">
        <v>31</v>
      </c>
      <c r="E8" s="4">
        <v>80000</v>
      </c>
      <c r="F8" s="5">
        <v>43120</v>
      </c>
      <c r="G8" s="3">
        <v>24</v>
      </c>
      <c r="H8" s="4">
        <f t="shared" si="0"/>
        <v>68000</v>
      </c>
      <c r="I8" s="3">
        <v>47</v>
      </c>
      <c r="J8" s="2" t="str">
        <f t="shared" si="1"/>
        <v/>
      </c>
    </row>
    <row r="9" spans="1:11">
      <c r="A9" s="2" t="s">
        <v>51</v>
      </c>
      <c r="B9" s="3" t="s">
        <v>18</v>
      </c>
      <c r="C9" s="2" t="s">
        <v>26</v>
      </c>
      <c r="D9" s="2" t="s">
        <v>30</v>
      </c>
      <c r="E9" s="4">
        <v>23000</v>
      </c>
      <c r="F9" s="5">
        <v>43141</v>
      </c>
      <c r="G9" s="3">
        <v>24</v>
      </c>
      <c r="H9" s="4">
        <f t="shared" si="0"/>
        <v>19550</v>
      </c>
      <c r="I9" s="3">
        <v>38</v>
      </c>
      <c r="J9" s="2" t="str">
        <f t="shared" si="1"/>
        <v>쿠폰증정</v>
      </c>
    </row>
    <row r="10" spans="1:11">
      <c r="A10" s="2" t="s">
        <v>52</v>
      </c>
      <c r="B10" s="3" t="s">
        <v>25</v>
      </c>
      <c r="C10" s="2" t="s">
        <v>11</v>
      </c>
      <c r="D10" s="2" t="s">
        <v>30</v>
      </c>
      <c r="E10" s="4">
        <v>58000</v>
      </c>
      <c r="F10" s="5">
        <v>43094</v>
      </c>
      <c r="G10" s="3">
        <v>12</v>
      </c>
      <c r="H10" s="4">
        <f t="shared" si="0"/>
        <v>40600</v>
      </c>
      <c r="I10" s="3">
        <v>30</v>
      </c>
      <c r="J10" s="2" t="str">
        <f t="shared" si="1"/>
        <v>쿠폰증정</v>
      </c>
    </row>
    <row r="11" spans="1:11">
      <c r="A11" s="2" t="s">
        <v>40</v>
      </c>
      <c r="B11" s="3" t="s">
        <v>37</v>
      </c>
      <c r="C11" s="2" t="s">
        <v>26</v>
      </c>
      <c r="D11" s="2" t="s">
        <v>30</v>
      </c>
      <c r="E11" s="4">
        <v>33000</v>
      </c>
      <c r="F11" s="5">
        <v>43574</v>
      </c>
      <c r="G11" s="3">
        <v>24</v>
      </c>
      <c r="H11" s="4">
        <f t="shared" si="0"/>
        <v>29700</v>
      </c>
      <c r="I11" s="3">
        <v>16</v>
      </c>
      <c r="J11" s="2" t="str">
        <f t="shared" si="1"/>
        <v/>
      </c>
    </row>
    <row r="12" spans="1:11">
      <c r="A12" s="2" t="s">
        <v>53</v>
      </c>
      <c r="B12" s="3" t="s">
        <v>38</v>
      </c>
      <c r="C12" s="2" t="s">
        <v>27</v>
      </c>
      <c r="D12" s="2" t="s">
        <v>33</v>
      </c>
      <c r="E12" s="4">
        <v>18000</v>
      </c>
      <c r="F12" s="5">
        <v>43078</v>
      </c>
      <c r="G12" s="3">
        <v>12</v>
      </c>
      <c r="H12" s="4">
        <f t="shared" si="0"/>
        <v>12600</v>
      </c>
      <c r="I12" s="3">
        <v>44</v>
      </c>
      <c r="J12" s="2" t="str">
        <f t="shared" si="1"/>
        <v/>
      </c>
    </row>
    <row r="13" spans="1:11">
      <c r="A13" s="2" t="s">
        <v>54</v>
      </c>
      <c r="B13" s="3" t="s">
        <v>21</v>
      </c>
      <c r="C13" s="2" t="s">
        <v>27</v>
      </c>
      <c r="D13" s="2" t="s">
        <v>33</v>
      </c>
      <c r="E13" s="4">
        <v>32000</v>
      </c>
      <c r="F13" s="5">
        <v>43215</v>
      </c>
      <c r="G13" s="3">
        <v>24</v>
      </c>
      <c r="H13" s="4">
        <f t="shared" si="0"/>
        <v>27200</v>
      </c>
      <c r="I13" s="3">
        <v>28</v>
      </c>
      <c r="J13" s="2" t="str">
        <f t="shared" si="1"/>
        <v/>
      </c>
    </row>
    <row r="14" spans="1:11">
      <c r="A14" s="2" t="s">
        <v>58</v>
      </c>
      <c r="B14" s="3" t="s">
        <v>22</v>
      </c>
      <c r="C14" s="2" t="s">
        <v>27</v>
      </c>
      <c r="D14" s="2" t="s">
        <v>30</v>
      </c>
      <c r="E14" s="4">
        <v>27000</v>
      </c>
      <c r="F14" s="5">
        <v>43031</v>
      </c>
      <c r="G14" s="3">
        <v>24</v>
      </c>
      <c r="H14" s="4">
        <f t="shared" si="0"/>
        <v>22950</v>
      </c>
      <c r="I14" s="3">
        <v>10</v>
      </c>
      <c r="J14" s="2" t="str">
        <f t="shared" si="1"/>
        <v>쿠폰증정</v>
      </c>
    </row>
    <row r="15" spans="1:11">
      <c r="A15" s="2" t="s">
        <v>55</v>
      </c>
      <c r="B15" s="3" t="s">
        <v>23</v>
      </c>
      <c r="C15" s="2" t="s">
        <v>27</v>
      </c>
      <c r="D15" s="2" t="s">
        <v>30</v>
      </c>
      <c r="E15" s="4">
        <v>32000</v>
      </c>
      <c r="F15" s="5">
        <v>43105</v>
      </c>
      <c r="G15" s="3">
        <v>12</v>
      </c>
      <c r="H15" s="4">
        <f t="shared" si="0"/>
        <v>22400</v>
      </c>
      <c r="I15" s="3">
        <v>47</v>
      </c>
      <c r="J15" s="2" t="str">
        <f t="shared" si="1"/>
        <v>쿠폰증정</v>
      </c>
    </row>
    <row r="16" spans="1:11">
      <c r="A16" s="2" t="s">
        <v>56</v>
      </c>
      <c r="B16" s="3" t="s">
        <v>24</v>
      </c>
      <c r="C16" s="2" t="s">
        <v>11</v>
      </c>
      <c r="D16" s="2" t="s">
        <v>32</v>
      </c>
      <c r="E16" s="4">
        <v>59000</v>
      </c>
      <c r="F16" s="5">
        <v>43804</v>
      </c>
      <c r="G16" s="3">
        <v>24</v>
      </c>
      <c r="H16" s="4">
        <f t="shared" si="0"/>
        <v>53100</v>
      </c>
      <c r="I16" s="3">
        <v>11</v>
      </c>
      <c r="J16" s="2" t="str">
        <f t="shared" si="1"/>
        <v/>
      </c>
    </row>
    <row r="17" spans="1:12">
      <c r="A17" s="2" t="s">
        <v>57</v>
      </c>
      <c r="B17" s="3" t="s">
        <v>29</v>
      </c>
      <c r="C17" s="2" t="s">
        <v>11</v>
      </c>
      <c r="D17" s="2" t="s">
        <v>32</v>
      </c>
      <c r="E17" s="4">
        <v>150000</v>
      </c>
      <c r="F17" s="5">
        <v>43044</v>
      </c>
      <c r="G17" s="3">
        <v>12</v>
      </c>
      <c r="H17" s="4">
        <f t="shared" si="0"/>
        <v>105000</v>
      </c>
      <c r="I17" s="3">
        <v>14</v>
      </c>
      <c r="J17" s="2" t="str">
        <f t="shared" si="1"/>
        <v/>
      </c>
    </row>
    <row r="19" spans="1:12">
      <c r="A19" s="10" t="s">
        <v>12</v>
      </c>
      <c r="D19" t="s">
        <v>61</v>
      </c>
      <c r="J19" t="s">
        <v>41</v>
      </c>
    </row>
    <row r="20" spans="1:12">
      <c r="A20" s="2" t="s">
        <v>13</v>
      </c>
      <c r="B20" s="2" t="s">
        <v>14</v>
      </c>
      <c r="D20" s="2" t="s">
        <v>4</v>
      </c>
      <c r="E20" s="13" t="s">
        <v>30</v>
      </c>
      <c r="F20" s="13" t="s">
        <v>31</v>
      </c>
      <c r="G20" s="13" t="s">
        <v>32</v>
      </c>
      <c r="H20" s="13" t="s">
        <v>33</v>
      </c>
      <c r="J20" s="2" t="s">
        <v>15</v>
      </c>
      <c r="K20" s="2" t="s">
        <v>59</v>
      </c>
      <c r="L20" s="13" t="s">
        <v>16</v>
      </c>
    </row>
    <row r="21" spans="1:12">
      <c r="A21" s="3">
        <v>1</v>
      </c>
      <c r="B21" s="6">
        <v>0.3</v>
      </c>
      <c r="D21" s="2" t="s">
        <v>26</v>
      </c>
      <c r="E21" s="3">
        <f>SUMIFS($I$3:$I$17,$C$3:$C$17,$D21,$D$3:$D$17,E$20)</f>
        <v>70</v>
      </c>
      <c r="F21" s="3">
        <f t="shared" ref="F21:H21" si="2">SUMIFS($I$3:$I$17,$C$3:$C$17,$D21,$D$3:$D$17,F$20)</f>
        <v>22</v>
      </c>
      <c r="G21" s="3">
        <f t="shared" si="2"/>
        <v>0</v>
      </c>
      <c r="H21" s="3">
        <f t="shared" si="2"/>
        <v>13</v>
      </c>
      <c r="J21" s="2">
        <v>10</v>
      </c>
      <c r="K21" s="2" t="s">
        <v>42</v>
      </c>
      <c r="L21" s="7">
        <f t="array" ref="L21">SUM((MID($A$3:$A$17,5,2)*1=J21)*1)/COUNTA($A$3:$A$17)</f>
        <v>0.33333333333333331</v>
      </c>
    </row>
    <row r="22" spans="1:12">
      <c r="A22" s="3">
        <v>7</v>
      </c>
      <c r="B22" s="6">
        <v>0.2</v>
      </c>
      <c r="D22" s="2" t="s">
        <v>11</v>
      </c>
      <c r="E22" s="3">
        <f t="shared" ref="E22:H23" si="3">SUMIFS($I$3:$I$17,$C$3:$C$17,$D22,$D$3:$D$17,E$20)</f>
        <v>30</v>
      </c>
      <c r="F22" s="3">
        <f t="shared" si="3"/>
        <v>47</v>
      </c>
      <c r="G22" s="3">
        <f t="shared" si="3"/>
        <v>56</v>
      </c>
      <c r="H22" s="3">
        <f t="shared" si="3"/>
        <v>0</v>
      </c>
      <c r="J22" s="2">
        <v>20</v>
      </c>
      <c r="K22" s="2" t="s">
        <v>43</v>
      </c>
      <c r="L22" s="7">
        <f t="array" ref="L22">SUM((MID($A$3:$A$17,5,2)*1=J22)*1)/COUNTA($A$3:$A$17)</f>
        <v>0.2</v>
      </c>
    </row>
    <row r="23" spans="1:12">
      <c r="A23" s="3">
        <v>12</v>
      </c>
      <c r="B23" s="6">
        <v>0.15</v>
      </c>
      <c r="D23" s="2" t="s">
        <v>27</v>
      </c>
      <c r="E23" s="3">
        <f t="shared" si="3"/>
        <v>57</v>
      </c>
      <c r="F23" s="3">
        <f t="shared" si="3"/>
        <v>19</v>
      </c>
      <c r="G23" s="3">
        <f t="shared" si="3"/>
        <v>0</v>
      </c>
      <c r="H23" s="3">
        <f t="shared" si="3"/>
        <v>72</v>
      </c>
      <c r="J23" s="2">
        <v>30</v>
      </c>
      <c r="K23" s="2" t="s">
        <v>44</v>
      </c>
      <c r="L23" s="7">
        <f t="array" ref="L23">SUM((MID($A$3:$A$17,5,2)*1=J23)*1)/COUNTA($A$3:$A$17)</f>
        <v>0.33333333333333331</v>
      </c>
    </row>
    <row r="24" spans="1:12">
      <c r="A24" s="3">
        <v>24</v>
      </c>
      <c r="B24" s="6">
        <v>0.1</v>
      </c>
      <c r="J24" s="2">
        <v>40</v>
      </c>
      <c r="K24" s="2" t="s">
        <v>45</v>
      </c>
      <c r="L24" s="7">
        <f t="array" ref="L24">SUM((MID($A$3:$A$17,5,2)*1=J24)*1)/COUNTA($A$3:$A$17)</f>
        <v>0.13333333333333333</v>
      </c>
    </row>
    <row r="25" spans="1:12">
      <c r="B25" s="8"/>
    </row>
    <row r="26" spans="1:12">
      <c r="A26" t="s">
        <v>17</v>
      </c>
    </row>
    <row r="27" spans="1:12">
      <c r="A27" s="2" t="s">
        <v>4</v>
      </c>
      <c r="B27" s="13" t="s">
        <v>3</v>
      </c>
      <c r="C27" s="13" t="s">
        <v>5</v>
      </c>
    </row>
    <row r="28" spans="1:12">
      <c r="A28" s="2" t="s">
        <v>26</v>
      </c>
      <c r="B28" s="3" t="str">
        <f t="array" ref="B28">INDEX($B$3:$E$17,MATCH(MAX(($C$3:$C$17=$A28)*$E$3:$E$17),($C$3:$C$17=$A28)*$E$3:$E$17,0),MATCH(B$27,$B$2:$E$2,0))</f>
        <v>데일리 모이스쳐 로션</v>
      </c>
      <c r="C28" s="3">
        <f t="array" ref="C28">INDEX($B$3:$E$17,MATCH(MAX(($C$3:$C$17=$A28)*$E$3:$E$17),($C$3:$C$17=$A28)*$E$3:$E$17,0),MATCH(C$27,$B$2:$E$2,0))</f>
        <v>45000</v>
      </c>
    </row>
    <row r="29" spans="1:12">
      <c r="A29" s="2" t="s">
        <v>11</v>
      </c>
      <c r="B29" s="3" t="str">
        <f t="array" ref="B29">INDEX($B$3:$E$17,MATCH(MAX(($C$3:$C$17=$A29)*$E$3:$E$17),($C$3:$C$17=$A29)*$E$3:$E$17,0),MATCH(B$27,$B$2:$E$2,0))</f>
        <v>멀티 골드 리프팅 크림</v>
      </c>
      <c r="C29" s="3">
        <f t="array" ref="C29">INDEX($B$3:$E$17,MATCH(MAX(($C$3:$C$17=$A29)*$E$3:$E$17),($C$3:$C$17=$A29)*$E$3:$E$17,0),MATCH(C$27,$B$2:$E$2,0))</f>
        <v>150000</v>
      </c>
    </row>
    <row r="30" spans="1:12">
      <c r="A30" s="2" t="s">
        <v>27</v>
      </c>
      <c r="B30" s="3" t="str">
        <f t="array" ref="B30">INDEX($B$3:$E$17,MATCH(MAX(($C$3:$C$17=$A30)*$E$3:$E$17),($C$3:$C$17=$A30)*$E$3:$E$17,0),MATCH(B$27,$B$2:$E$2,0))</f>
        <v>프로바이오틱 폼클렌징</v>
      </c>
      <c r="C30" s="3">
        <f t="array" ref="C30">INDEX($B$3:$E$17,MATCH(MAX(($C$3:$C$17=$A30)*$E$3:$E$17),($C$3:$C$17=$A30)*$E$3:$E$17,0),MATCH(C$27,$B$2:$E$2,0))</f>
        <v>32000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1 spaces</cp:lastModifiedBy>
  <dcterms:created xsi:type="dcterms:W3CDTF">2020-10-27T05:29:31Z</dcterms:created>
  <dcterms:modified xsi:type="dcterms:W3CDTF">2024-01-22T11:20:16Z</dcterms:modified>
</cp:coreProperties>
</file>