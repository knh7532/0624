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2장_출제유형10\"/>
    </mc:Choice>
  </mc:AlternateContent>
  <bookViews>
    <workbookView xWindow="0" yWindow="0" windowWidth="28800" windowHeight="12255"/>
  </bookViews>
  <sheets>
    <sheet name="계산작업-10" sheetId="4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4" l="1" a="1"/>
  <c r="F7" i="4" s="1"/>
  <c r="F6" i="4" a="1"/>
  <c r="F6" i="4" s="1"/>
  <c r="F5" i="4" a="1"/>
  <c r="F5" i="4" s="1"/>
  <c r="C5" i="4" a="1"/>
  <c r="C5" i="4" s="1"/>
  <c r="B5" i="4" a="1"/>
  <c r="B5" i="4" s="1"/>
  <c r="F4" i="4" a="1"/>
  <c r="F4" i="4" s="1"/>
  <c r="C4" i="4" a="1"/>
  <c r="C4" i="4" s="1"/>
  <c r="B4" i="4" a="1"/>
  <c r="B4" i="4" s="1"/>
  <c r="F3" i="4" a="1"/>
  <c r="F3" i="4" s="1"/>
  <c r="C3" i="4" a="1"/>
  <c r="C3" i="4" s="1"/>
  <c r="B3" i="4" a="1"/>
  <c r="B3" i="4" s="1"/>
</calcChain>
</file>

<file path=xl/sharedStrings.xml><?xml version="1.0" encoding="utf-8"?>
<sst xmlns="http://schemas.openxmlformats.org/spreadsheetml/2006/main" count="70" uniqueCount="44">
  <si>
    <t>학번</t>
  </si>
  <si>
    <t>성명</t>
  </si>
  <si>
    <t>학과</t>
  </si>
  <si>
    <t>자격증명</t>
  </si>
  <si>
    <t>시행청</t>
  </si>
  <si>
    <t>취득일자</t>
  </si>
  <si>
    <t>김규리</t>
  </si>
  <si>
    <t>경영학과</t>
  </si>
  <si>
    <t>대한상공회의소</t>
  </si>
  <si>
    <t>워드프로세서</t>
    <phoneticPr fontId="3" type="noConversion"/>
  </si>
  <si>
    <t>이은지</t>
  </si>
  <si>
    <t>최일우</t>
  </si>
  <si>
    <t>경제학과</t>
  </si>
  <si>
    <t>정동원</t>
  </si>
  <si>
    <t>전산회계운용사 1급</t>
  </si>
  <si>
    <t>전자상거래운용사</t>
  </si>
  <si>
    <t>김미라</t>
  </si>
  <si>
    <t>한국산업인력공단</t>
    <phoneticPr fontId="3" type="noConversion"/>
  </si>
  <si>
    <t>황다희</t>
  </si>
  <si>
    <t>김민혜</t>
  </si>
  <si>
    <t>[표3]</t>
    <phoneticPr fontId="3" type="noConversion"/>
  </si>
  <si>
    <t>[표1] 시행청별 자격증 취득 현황</t>
    <phoneticPr fontId="7" type="noConversion"/>
  </si>
  <si>
    <r>
      <t>[표</t>
    </r>
    <r>
      <rPr>
        <b/>
        <sz val="11"/>
        <color theme="1"/>
        <rFont val="맑은 고딕"/>
        <family val="3"/>
        <charset val="129"/>
        <scheme val="minor"/>
      </rPr>
      <t>2</t>
    </r>
    <r>
      <rPr>
        <b/>
        <sz val="11"/>
        <rFont val="맑은 고딕"/>
        <family val="3"/>
        <charset val="129"/>
        <scheme val="minor"/>
      </rPr>
      <t>]</t>
    </r>
    <r>
      <rPr>
        <b/>
        <sz val="11"/>
        <color theme="1"/>
        <rFont val="맑은 고딕"/>
        <family val="3"/>
        <charset val="129"/>
        <scheme val="minor"/>
      </rPr>
      <t xml:space="preserve"> </t>
    </r>
    <r>
      <rPr>
        <b/>
        <sz val="11"/>
        <rFont val="맑은 고딕"/>
        <family val="3"/>
        <charset val="129"/>
        <scheme val="minor"/>
      </rPr>
      <t>자격증명별 취득 현황</t>
    </r>
    <phoneticPr fontId="7" type="noConversion"/>
  </si>
  <si>
    <t>학과명</t>
    <phoneticPr fontId="7" type="noConversion"/>
  </si>
  <si>
    <t>대한상공회의소</t>
    <phoneticPr fontId="7" type="noConversion"/>
  </si>
  <si>
    <t>한국산업인력공단</t>
    <phoneticPr fontId="7" type="noConversion"/>
  </si>
  <si>
    <t>자격증</t>
    <phoneticPr fontId="7" type="noConversion"/>
  </si>
  <si>
    <t>취득명수</t>
    <phoneticPr fontId="7" type="noConversion"/>
  </si>
  <si>
    <t>경영학과</t>
    <phoneticPr fontId="7" type="noConversion"/>
  </si>
  <si>
    <t>컴퓨터</t>
    <phoneticPr fontId="7" type="noConversion"/>
  </si>
  <si>
    <t>경제학과</t>
    <phoneticPr fontId="7" type="noConversion"/>
  </si>
  <si>
    <t>워드</t>
    <phoneticPr fontId="7" type="noConversion"/>
  </si>
  <si>
    <t>컴퓨터공학과</t>
    <phoneticPr fontId="7" type="noConversion"/>
  </si>
  <si>
    <t>정보</t>
    <phoneticPr fontId="7" type="noConversion"/>
  </si>
  <si>
    <t>전자상거래</t>
    <phoneticPr fontId="7" type="noConversion"/>
  </si>
  <si>
    <t>전산회계</t>
    <phoneticPr fontId="7" type="noConversion"/>
  </si>
  <si>
    <t>컴퓨터활용능력</t>
    <phoneticPr fontId="3" type="noConversion"/>
  </si>
  <si>
    <t>홍은희</t>
    <phoneticPr fontId="3" type="noConversion"/>
  </si>
  <si>
    <t>정보처리산업기사</t>
    <phoneticPr fontId="3" type="noConversion"/>
  </si>
  <si>
    <t>김형민</t>
    <phoneticPr fontId="3" type="noConversion"/>
  </si>
  <si>
    <t>정보처리기능사</t>
    <phoneticPr fontId="3" type="noConversion"/>
  </si>
  <si>
    <t>컴퓨터공학과</t>
    <phoneticPr fontId="3" type="noConversion"/>
  </si>
  <si>
    <t>정보처리기사</t>
    <phoneticPr fontId="3" type="noConversion"/>
  </si>
  <si>
    <t>정보보안기사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</si>
</sst>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/>
    <xf numFmtId="0" fontId="8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0" fontId="8" fillId="0" borderId="0">
      <alignment vertical="center"/>
    </xf>
  </cellStyleXfs>
  <cellXfs count="20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2" fillId="0" borderId="0" xfId="7" applyFont="1">
      <alignment vertical="center"/>
    </xf>
    <xf numFmtId="0" fontId="4" fillId="0" borderId="0" xfId="7" applyFont="1">
      <alignment vertical="center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7" applyFont="1" applyFill="1" applyBorder="1" applyAlignment="1">
      <alignment horizontal="center" vertical="center"/>
    </xf>
    <xf numFmtId="0" fontId="2" fillId="2" borderId="1" xfId="7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7" applyFont="1" applyBorder="1">
      <alignment vertical="center"/>
    </xf>
    <xf numFmtId="0" fontId="4" fillId="0" borderId="1" xfId="7" applyFont="1" applyFill="1" applyBorder="1">
      <alignment vertical="center"/>
    </xf>
    <xf numFmtId="0" fontId="4" fillId="0" borderId="0" xfId="7" applyFont="1" applyFill="1" applyBorder="1">
      <alignment vertical="center"/>
    </xf>
    <xf numFmtId="0" fontId="4" fillId="0" borderId="0" xfId="7" applyFont="1" applyBorder="1">
      <alignment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8">
    <cellStyle name="쉼표 [0] 2" xfId="6"/>
    <cellStyle name="쉼표 [0] 2 2" xfId="1"/>
    <cellStyle name="쉼표 [0] 3" xfId="4"/>
    <cellStyle name="쉼표 [0] 3 2" xfId="5"/>
    <cellStyle name="표준" xfId="0" builtinId="0"/>
    <cellStyle name="표준 2" xfId="2"/>
    <cellStyle name="표준 3" xfId="3"/>
    <cellStyle name="표준_계산작업-1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o404/Desktop/&#47784;&#51032;&#44256;&#49324;_&#44592;&#52636;&#47928;&#51228;(&#52980;&#54876;%201&#44553;%20&#49892;&#44592;)/&#47700;&#45684;&#50620;/16.&#51060;&#47200;/&#44592;&#48376;&#51089;&#50629;_&#47928;&#5122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외부데이터-1"/>
      <sheetName val="외부데이터-2"/>
      <sheetName val="고급필터-1"/>
      <sheetName val="고급필터-2"/>
      <sheetName val="조건부서식-1"/>
      <sheetName val="조건부서식-2"/>
      <sheetName val="시트보호-1"/>
      <sheetName val="시트보호-2"/>
      <sheetName val="페이지레이아웃-1"/>
      <sheetName val="페이지레이아웃-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E2" t="str">
            <v>연봉</v>
          </cell>
        </row>
        <row r="3">
          <cell r="A3" t="str">
            <v>강원철</v>
          </cell>
          <cell r="E3">
            <v>28900000</v>
          </cell>
        </row>
        <row r="4">
          <cell r="A4" t="str">
            <v>강진용</v>
          </cell>
          <cell r="E4">
            <v>19100000</v>
          </cell>
        </row>
        <row r="5">
          <cell r="A5" t="str">
            <v>구자춘</v>
          </cell>
          <cell r="E5">
            <v>37000000</v>
          </cell>
        </row>
        <row r="6">
          <cell r="A6" t="str">
            <v>권부규</v>
          </cell>
          <cell r="E6">
            <v>37900000</v>
          </cell>
        </row>
        <row r="7">
          <cell r="A7" t="str">
            <v>김진규</v>
          </cell>
          <cell r="E7">
            <v>21200000</v>
          </cell>
        </row>
        <row r="8">
          <cell r="A8" t="str">
            <v>김한일</v>
          </cell>
          <cell r="E8">
            <v>20000000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tabSelected="1" workbookViewId="0">
      <selection activeCell="I19" sqref="I19"/>
    </sheetView>
  </sheetViews>
  <sheetFormatPr defaultRowHeight="16.5"/>
  <cols>
    <col min="1" max="1" width="15.375" customWidth="1"/>
    <col min="2" max="2" width="14.375" bestFit="1" customWidth="1"/>
    <col min="3" max="3" width="16.25" bestFit="1" customWidth="1"/>
    <col min="4" max="4" width="18.125" bestFit="1" customWidth="1"/>
    <col min="5" max="5" width="17.25" customWidth="1"/>
    <col min="6" max="6" width="13.875" customWidth="1"/>
  </cols>
  <sheetData>
    <row r="1" spans="1:6">
      <c r="A1" s="5" t="s">
        <v>21</v>
      </c>
      <c r="B1" s="6"/>
      <c r="C1" s="6"/>
      <c r="D1" s="3"/>
      <c r="E1" s="7" t="s">
        <v>22</v>
      </c>
      <c r="F1" s="8"/>
    </row>
    <row r="2" spans="1:6">
      <c r="A2" s="9" t="s">
        <v>23</v>
      </c>
      <c r="B2" s="10" t="s">
        <v>24</v>
      </c>
      <c r="C2" s="10" t="s">
        <v>25</v>
      </c>
      <c r="D2" s="3"/>
      <c r="E2" s="11" t="s">
        <v>26</v>
      </c>
      <c r="F2" s="12" t="s">
        <v>27</v>
      </c>
    </row>
    <row r="3" spans="1:6">
      <c r="A3" s="2" t="s">
        <v>28</v>
      </c>
      <c r="B3" s="13">
        <f t="array" ref="B3">SUM(($C$11:$C$22=$A3)*($E$11:$E$22=B$2))</f>
        <v>3</v>
      </c>
      <c r="C3" s="13">
        <f t="array" ref="C3">SUM(($C$11:$C$22=$A3)*($E$11:$E$22=C$2))</f>
        <v>1</v>
      </c>
      <c r="D3" s="3"/>
      <c r="E3" s="14" t="s">
        <v>29</v>
      </c>
      <c r="F3" s="14">
        <f t="array" ref="F3">COUNT(IF(LEFT($D$11:$D$22,LEN(E3))=E3,1))</f>
        <v>4</v>
      </c>
    </row>
    <row r="4" spans="1:6">
      <c r="A4" s="2" t="s">
        <v>30</v>
      </c>
      <c r="B4" s="13">
        <f t="array" ref="B4">SUM(($C$11:$C$22=$A4)*($E$11:$E$22=B$2))</f>
        <v>4</v>
      </c>
      <c r="C4" s="13">
        <f t="array" ref="C4">SUM(($C$11:$C$22=$A4)*($E$11:$E$22=C$2))</f>
        <v>1</v>
      </c>
      <c r="D4" s="3"/>
      <c r="E4" s="14" t="s">
        <v>31</v>
      </c>
      <c r="F4" s="14">
        <f t="array" ref="F4">COUNT(IF(LEFT($D$11:$D$22,LEN(E4))=E4,1))</f>
        <v>1</v>
      </c>
    </row>
    <row r="5" spans="1:6">
      <c r="A5" s="2" t="s">
        <v>32</v>
      </c>
      <c r="B5" s="13">
        <f t="array" ref="B5">SUM(($C$11:$C$22=$A5)*($E$11:$E$22=B$2))</f>
        <v>1</v>
      </c>
      <c r="C5" s="13">
        <f t="array" ref="C5">SUM(($C$11:$C$22=$A5)*($E$11:$E$22=C$2))</f>
        <v>2</v>
      </c>
      <c r="D5" s="3"/>
      <c r="E5" s="14" t="s">
        <v>33</v>
      </c>
      <c r="F5" s="14">
        <f t="array" ref="F5">COUNT(IF(LEFT($D$11:$D$22,LEN(E5))=E5,1))</f>
        <v>4</v>
      </c>
    </row>
    <row r="6" spans="1:6">
      <c r="A6" s="6"/>
      <c r="B6" s="6"/>
      <c r="C6" s="6"/>
      <c r="D6" s="3"/>
      <c r="E6" s="15" t="s">
        <v>34</v>
      </c>
      <c r="F6" s="14">
        <f t="array" ref="F6">COUNT(IF(LEFT($D$11:$D$22,LEN(E6))=E6,1))</f>
        <v>1</v>
      </c>
    </row>
    <row r="7" spans="1:6">
      <c r="A7" s="6"/>
      <c r="B7" s="6"/>
      <c r="C7" s="6"/>
      <c r="D7" s="3"/>
      <c r="E7" s="15" t="s">
        <v>35</v>
      </c>
      <c r="F7" s="14">
        <f t="array" ref="F7">COUNT(IF(LEFT($D$11:$D$22,LEN(E7))=E7,1))</f>
        <v>2</v>
      </c>
    </row>
    <row r="8" spans="1:6">
      <c r="A8" s="6"/>
      <c r="B8" s="6"/>
      <c r="C8" s="6"/>
      <c r="D8" s="3"/>
      <c r="E8" s="16"/>
      <c r="F8" s="17"/>
    </row>
    <row r="9" spans="1:6">
      <c r="A9" s="1" t="s">
        <v>20</v>
      </c>
    </row>
    <row r="10" spans="1:6">
      <c r="A10" s="4" t="s">
        <v>0</v>
      </c>
      <c r="B10" s="4" t="s">
        <v>1</v>
      </c>
      <c r="C10" s="4" t="s">
        <v>2</v>
      </c>
      <c r="D10" s="4" t="s">
        <v>3</v>
      </c>
      <c r="E10" s="4" t="s">
        <v>4</v>
      </c>
      <c r="F10" s="4" t="s">
        <v>5</v>
      </c>
    </row>
    <row r="11" spans="1:6">
      <c r="A11" s="4">
        <v>201712024</v>
      </c>
      <c r="B11" s="4" t="s">
        <v>6</v>
      </c>
      <c r="C11" s="4" t="s">
        <v>7</v>
      </c>
      <c r="D11" s="4" t="s">
        <v>36</v>
      </c>
      <c r="E11" s="4" t="s">
        <v>8</v>
      </c>
      <c r="F11" s="18">
        <v>43146</v>
      </c>
    </row>
    <row r="12" spans="1:6">
      <c r="A12" s="4">
        <v>201712024</v>
      </c>
      <c r="B12" s="4" t="s">
        <v>6</v>
      </c>
      <c r="C12" s="4" t="s">
        <v>7</v>
      </c>
      <c r="D12" s="4" t="s">
        <v>9</v>
      </c>
      <c r="E12" s="4" t="s">
        <v>8</v>
      </c>
      <c r="F12" s="18">
        <v>43104</v>
      </c>
    </row>
    <row r="13" spans="1:6">
      <c r="A13" s="4">
        <v>201712057</v>
      </c>
      <c r="B13" s="4" t="s">
        <v>10</v>
      </c>
      <c r="C13" s="4" t="s">
        <v>7</v>
      </c>
      <c r="D13" s="4" t="s">
        <v>36</v>
      </c>
      <c r="E13" s="4" t="s">
        <v>8</v>
      </c>
      <c r="F13" s="18">
        <v>43215</v>
      </c>
    </row>
    <row r="14" spans="1:6">
      <c r="A14" s="4">
        <v>201712058</v>
      </c>
      <c r="B14" s="4" t="s">
        <v>37</v>
      </c>
      <c r="C14" s="4" t="s">
        <v>7</v>
      </c>
      <c r="D14" s="4" t="s">
        <v>38</v>
      </c>
      <c r="E14" s="4" t="s">
        <v>17</v>
      </c>
      <c r="F14" s="18">
        <v>43187</v>
      </c>
    </row>
    <row r="15" spans="1:6">
      <c r="A15" s="4">
        <v>201506014</v>
      </c>
      <c r="B15" s="4" t="s">
        <v>11</v>
      </c>
      <c r="C15" s="4" t="s">
        <v>12</v>
      </c>
      <c r="D15" s="4" t="s">
        <v>36</v>
      </c>
      <c r="E15" s="4" t="s">
        <v>8</v>
      </c>
      <c r="F15" s="18">
        <v>43324</v>
      </c>
    </row>
    <row r="16" spans="1:6">
      <c r="A16" s="4">
        <v>201506154</v>
      </c>
      <c r="B16" s="4" t="s">
        <v>13</v>
      </c>
      <c r="C16" s="4" t="s">
        <v>12</v>
      </c>
      <c r="D16" s="4" t="s">
        <v>14</v>
      </c>
      <c r="E16" s="4" t="s">
        <v>8</v>
      </c>
      <c r="F16" s="18">
        <v>43277</v>
      </c>
    </row>
    <row r="17" spans="1:6">
      <c r="A17" s="4">
        <v>201506154</v>
      </c>
      <c r="B17" s="4" t="s">
        <v>13</v>
      </c>
      <c r="C17" s="4" t="s">
        <v>12</v>
      </c>
      <c r="D17" s="4" t="s">
        <v>15</v>
      </c>
      <c r="E17" s="4" t="s">
        <v>8</v>
      </c>
      <c r="F17" s="18">
        <v>43299</v>
      </c>
    </row>
    <row r="18" spans="1:6">
      <c r="A18" s="4">
        <v>201506154</v>
      </c>
      <c r="B18" s="4" t="s">
        <v>39</v>
      </c>
      <c r="C18" s="4" t="s">
        <v>12</v>
      </c>
      <c r="D18" s="4" t="s">
        <v>36</v>
      </c>
      <c r="E18" s="4" t="s">
        <v>8</v>
      </c>
      <c r="F18" s="18">
        <v>43208</v>
      </c>
    </row>
    <row r="19" spans="1:6">
      <c r="A19" s="4">
        <v>201506154</v>
      </c>
      <c r="B19" s="4" t="s">
        <v>39</v>
      </c>
      <c r="C19" s="4" t="s">
        <v>12</v>
      </c>
      <c r="D19" s="4" t="s">
        <v>40</v>
      </c>
      <c r="E19" s="4" t="s">
        <v>17</v>
      </c>
      <c r="F19" s="18">
        <v>43101</v>
      </c>
    </row>
    <row r="20" spans="1:6">
      <c r="A20" s="4">
        <v>201506133</v>
      </c>
      <c r="B20" s="4" t="s">
        <v>16</v>
      </c>
      <c r="C20" s="4" t="s">
        <v>41</v>
      </c>
      <c r="D20" s="4" t="s">
        <v>42</v>
      </c>
      <c r="E20" s="4" t="s">
        <v>17</v>
      </c>
      <c r="F20" s="18">
        <v>43222</v>
      </c>
    </row>
    <row r="21" spans="1:6">
      <c r="A21" s="4">
        <v>201506165</v>
      </c>
      <c r="B21" s="4" t="s">
        <v>18</v>
      </c>
      <c r="C21" s="4" t="s">
        <v>41</v>
      </c>
      <c r="D21" s="4" t="s">
        <v>43</v>
      </c>
      <c r="E21" s="4" t="s">
        <v>17</v>
      </c>
      <c r="F21" s="18">
        <v>43221</v>
      </c>
    </row>
    <row r="22" spans="1:6">
      <c r="A22" s="4">
        <v>201606028</v>
      </c>
      <c r="B22" s="4" t="s">
        <v>19</v>
      </c>
      <c r="C22" s="4" t="s">
        <v>41</v>
      </c>
      <c r="D22" s="4" t="s">
        <v>14</v>
      </c>
      <c r="E22" s="4" t="s">
        <v>8</v>
      </c>
      <c r="F22" s="18">
        <v>43403</v>
      </c>
    </row>
    <row r="23" spans="1:6">
      <c r="F23" s="19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aso404</cp:lastModifiedBy>
  <cp:lastPrinted>2020-10-28T05:41:21Z</cp:lastPrinted>
  <dcterms:created xsi:type="dcterms:W3CDTF">2020-10-28T04:59:21Z</dcterms:created>
  <dcterms:modified xsi:type="dcterms:W3CDTF">2020-10-28T06:16:07Z</dcterms:modified>
</cp:coreProperties>
</file>