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2장_출제유형09\"/>
    </mc:Choice>
  </mc:AlternateContent>
  <bookViews>
    <workbookView xWindow="0" yWindow="0" windowWidth="28800" windowHeight="12255"/>
  </bookViews>
  <sheets>
    <sheet name="계산작업-9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4" l="1"/>
  <c r="B23" i="4"/>
  <c r="B22" i="4"/>
  <c r="B21" i="4"/>
  <c r="B20" i="4"/>
  <c r="B19" i="4"/>
  <c r="B18" i="4"/>
  <c r="B17" i="4"/>
  <c r="B16" i="4"/>
  <c r="H12" i="4"/>
  <c r="F12" i="4"/>
  <c r="H11" i="4"/>
  <c r="F11" i="4"/>
  <c r="H10" i="4"/>
  <c r="F10" i="4"/>
  <c r="H9" i="4"/>
  <c r="F9" i="4"/>
  <c r="H8" i="4"/>
  <c r="F8" i="4"/>
  <c r="H7" i="4"/>
  <c r="F7" i="4"/>
  <c r="H6" i="4"/>
  <c r="F6" i="4"/>
  <c r="H5" i="4"/>
  <c r="F5" i="4"/>
  <c r="H4" i="4"/>
  <c r="F4" i="4"/>
  <c r="H3" i="4"/>
  <c r="F3" i="4"/>
</calcChain>
</file>

<file path=xl/sharedStrings.xml><?xml version="1.0" encoding="utf-8"?>
<sst xmlns="http://schemas.openxmlformats.org/spreadsheetml/2006/main" count="62" uniqueCount="43">
  <si>
    <t>이름</t>
    <phoneticPr fontId="3" type="noConversion"/>
  </si>
  <si>
    <t>결과</t>
    <phoneticPr fontId="3" type="noConversion"/>
  </si>
  <si>
    <t>성명</t>
    <phoneticPr fontId="6" type="noConversion"/>
  </si>
  <si>
    <t>[표1]</t>
    <phoneticPr fontId="3" type="noConversion"/>
  </si>
  <si>
    <t>[표3]</t>
    <phoneticPr fontId="3" type="noConversion"/>
  </si>
  <si>
    <t>[표2]</t>
    <phoneticPr fontId="3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</si>
  <si>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</si>
  <si>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</si>
  <si>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</si>
  <si>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</si>
  <si>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</si>
  <si>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</si>
  <si>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3" type="noConversion"/>
  </si>
  <si>
    <t>김하나</t>
    <phoneticPr fontId="3" type="noConversion"/>
  </si>
  <si>
    <t>박인호</t>
    <phoneticPr fontId="3" type="noConversion"/>
  </si>
  <si>
    <t>김하늘</t>
    <phoneticPr fontId="3" type="noConversion"/>
  </si>
  <si>
    <t>박규리</t>
    <phoneticPr fontId="3" type="noConversion"/>
  </si>
  <si>
    <t>박규석</t>
    <phoneticPr fontId="3" type="noConversion"/>
  </si>
  <si>
    <t>김시영</t>
    <phoneticPr fontId="3" type="noConversion"/>
  </si>
  <si>
    <t>이하정</t>
    <phoneticPr fontId="3" type="noConversion"/>
  </si>
  <si>
    <t>1차</t>
    <phoneticPr fontId="3" type="noConversion"/>
  </si>
  <si>
    <t>2차</t>
    <phoneticPr fontId="3" type="noConversion"/>
  </si>
  <si>
    <t>3차</t>
  </si>
  <si>
    <t>4차</t>
  </si>
  <si>
    <t>합계</t>
    <phoneticPr fontId="3" type="noConversion"/>
  </si>
  <si>
    <t>결석수</t>
    <phoneticPr fontId="3" type="noConversion"/>
  </si>
  <si>
    <t>류하은</t>
    <phoneticPr fontId="3" type="noConversion"/>
  </si>
  <si>
    <t>부양공제</t>
  </si>
  <si>
    <t>소득공제</t>
    <phoneticPr fontId="6" type="noConversion"/>
  </si>
  <si>
    <t>소득공제내용</t>
    <phoneticPr fontId="6" type="noConversion"/>
  </si>
  <si>
    <t>관계</t>
  </si>
  <si>
    <t>일반의료비</t>
  </si>
  <si>
    <t>간소화자료</t>
  </si>
  <si>
    <t>부</t>
    <phoneticPr fontId="3" type="noConversion"/>
  </si>
  <si>
    <t>신용카드</t>
  </si>
  <si>
    <t>대중교통</t>
  </si>
  <si>
    <t>모</t>
  </si>
  <si>
    <t>본인</t>
  </si>
  <si>
    <t>현금영수증</t>
  </si>
  <si>
    <t>일반사용분</t>
  </si>
  <si>
    <t>자</t>
  </si>
  <si>
    <t>지정기부금</t>
  </si>
  <si>
    <t>법인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</si>
</sst>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8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2" xfId="3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 wrapText="1"/>
    </xf>
  </cellXfs>
  <cellStyles count="8">
    <cellStyle name="보통" xfId="1" builtinId="28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tabSelected="1" workbookViewId="0">
      <selection activeCell="I16" sqref="I16"/>
    </sheetView>
  </sheetViews>
  <sheetFormatPr defaultRowHeight="16.5" x14ac:dyDescent="0.3"/>
  <cols>
    <col min="1" max="3" width="10.75" customWidth="1"/>
    <col min="4" max="4" width="12.375" bestFit="1" customWidth="1"/>
    <col min="5" max="8" width="10.75" customWidth="1"/>
  </cols>
  <sheetData>
    <row r="1" spans="1:8" x14ac:dyDescent="0.3">
      <c r="A1" s="2" t="s">
        <v>3</v>
      </c>
    </row>
    <row r="2" spans="1:8" x14ac:dyDescent="0.3">
      <c r="A2" s="1" t="s">
        <v>0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3" t="s">
        <v>1</v>
      </c>
    </row>
    <row r="3" spans="1:8" x14ac:dyDescent="0.3">
      <c r="A3" s="1" t="s">
        <v>6</v>
      </c>
      <c r="B3" s="4">
        <v>90</v>
      </c>
      <c r="C3" s="4">
        <v>100</v>
      </c>
      <c r="D3" s="4">
        <v>95</v>
      </c>
      <c r="E3" s="4">
        <v>98</v>
      </c>
      <c r="F3" s="4">
        <f>SUM(B3:E3)</f>
        <v>383</v>
      </c>
      <c r="G3" s="4"/>
      <c r="H3" s="1" t="str">
        <f>IF(AND(AVERAGE(B3:E3)&gt;=AVERAGE($B$3:$E$12),ISBLANK(G3)),"통과","재시험")</f>
        <v>통과</v>
      </c>
    </row>
    <row r="4" spans="1:8" x14ac:dyDescent="0.3">
      <c r="A4" s="1" t="s">
        <v>7</v>
      </c>
      <c r="B4" s="4">
        <v>85</v>
      </c>
      <c r="C4" s="4">
        <v>100</v>
      </c>
      <c r="D4" s="4">
        <v>78</v>
      </c>
      <c r="E4" s="4">
        <v>85</v>
      </c>
      <c r="F4" s="4">
        <f t="shared" ref="F4:F12" si="0">SUM(B4:E4)</f>
        <v>348</v>
      </c>
      <c r="G4" s="4">
        <v>2</v>
      </c>
      <c r="H4" s="1" t="str">
        <f t="shared" ref="H4:H12" si="1">IF(AND(AVERAGE(B4:E4)&gt;=AVERAGE($B$3:$E$12),ISBLANK(G4)),"통과","재시험")</f>
        <v>재시험</v>
      </c>
    </row>
    <row r="5" spans="1:8" x14ac:dyDescent="0.3">
      <c r="A5" s="1" t="s">
        <v>8</v>
      </c>
      <c r="B5" s="4">
        <v>99</v>
      </c>
      <c r="C5" s="4">
        <v>92</v>
      </c>
      <c r="D5" s="4">
        <v>84</v>
      </c>
      <c r="E5" s="4">
        <v>90</v>
      </c>
      <c r="F5" s="4">
        <f t="shared" si="0"/>
        <v>365</v>
      </c>
      <c r="G5" s="4"/>
      <c r="H5" s="1" t="str">
        <f t="shared" si="1"/>
        <v>통과</v>
      </c>
    </row>
    <row r="6" spans="1:8" x14ac:dyDescent="0.3">
      <c r="A6" s="1" t="s">
        <v>9</v>
      </c>
      <c r="B6" s="4">
        <v>73</v>
      </c>
      <c r="C6" s="4">
        <v>71</v>
      </c>
      <c r="D6" s="4">
        <v>77</v>
      </c>
      <c r="E6" s="4">
        <v>60</v>
      </c>
      <c r="F6" s="4">
        <f t="shared" si="0"/>
        <v>281</v>
      </c>
      <c r="G6" s="4">
        <v>2</v>
      </c>
      <c r="H6" s="1" t="str">
        <f t="shared" si="1"/>
        <v>재시험</v>
      </c>
    </row>
    <row r="7" spans="1:8" x14ac:dyDescent="0.3">
      <c r="A7" s="1" t="s">
        <v>10</v>
      </c>
      <c r="B7" s="4">
        <v>75</v>
      </c>
      <c r="C7" s="4">
        <v>60</v>
      </c>
      <c r="D7" s="4">
        <v>56</v>
      </c>
      <c r="E7" s="4">
        <v>65</v>
      </c>
      <c r="F7" s="4">
        <f t="shared" si="0"/>
        <v>256</v>
      </c>
      <c r="G7" s="4">
        <v>2</v>
      </c>
      <c r="H7" s="1" t="str">
        <f t="shared" si="1"/>
        <v>재시험</v>
      </c>
    </row>
    <row r="8" spans="1:8" x14ac:dyDescent="0.3">
      <c r="A8" s="1" t="s">
        <v>11</v>
      </c>
      <c r="B8" s="4">
        <v>91</v>
      </c>
      <c r="C8" s="4">
        <v>73</v>
      </c>
      <c r="D8" s="4">
        <v>96</v>
      </c>
      <c r="E8" s="4">
        <v>91</v>
      </c>
      <c r="F8" s="4">
        <f t="shared" si="0"/>
        <v>351</v>
      </c>
      <c r="G8" s="4"/>
      <c r="H8" s="1" t="str">
        <f t="shared" si="1"/>
        <v>통과</v>
      </c>
    </row>
    <row r="9" spans="1:8" x14ac:dyDescent="0.3">
      <c r="A9" s="1" t="s">
        <v>12</v>
      </c>
      <c r="B9" s="4">
        <v>78</v>
      </c>
      <c r="C9" s="4">
        <v>90</v>
      </c>
      <c r="D9" s="4">
        <v>77</v>
      </c>
      <c r="E9" s="4">
        <v>87</v>
      </c>
      <c r="F9" s="4">
        <f t="shared" si="0"/>
        <v>332</v>
      </c>
      <c r="G9" s="4">
        <v>3</v>
      </c>
      <c r="H9" s="1" t="str">
        <f t="shared" si="1"/>
        <v>재시험</v>
      </c>
    </row>
    <row r="10" spans="1:8" x14ac:dyDescent="0.3">
      <c r="A10" s="1" t="s">
        <v>13</v>
      </c>
      <c r="B10" s="4">
        <v>75</v>
      </c>
      <c r="C10" s="4">
        <v>92</v>
      </c>
      <c r="D10" s="4">
        <v>89</v>
      </c>
      <c r="E10" s="4">
        <v>94</v>
      </c>
      <c r="F10" s="4">
        <f t="shared" si="0"/>
        <v>350</v>
      </c>
      <c r="G10" s="4"/>
      <c r="H10" s="1" t="str">
        <f t="shared" si="1"/>
        <v>통과</v>
      </c>
    </row>
    <row r="11" spans="1:8" x14ac:dyDescent="0.3">
      <c r="A11" s="1" t="s">
        <v>18</v>
      </c>
      <c r="B11" s="4">
        <v>98</v>
      </c>
      <c r="C11" s="4">
        <v>96</v>
      </c>
      <c r="D11" s="4">
        <v>86</v>
      </c>
      <c r="E11" s="4">
        <v>89</v>
      </c>
      <c r="F11" s="4">
        <f t="shared" si="0"/>
        <v>369</v>
      </c>
      <c r="G11" s="4"/>
      <c r="H11" s="1" t="str">
        <f t="shared" si="1"/>
        <v>통과</v>
      </c>
    </row>
    <row r="12" spans="1:8" x14ac:dyDescent="0.3">
      <c r="A12" s="1" t="s">
        <v>26</v>
      </c>
      <c r="B12" s="4">
        <v>63</v>
      </c>
      <c r="C12" s="4">
        <v>40</v>
      </c>
      <c r="D12" s="4">
        <v>55</v>
      </c>
      <c r="E12" s="4">
        <v>50</v>
      </c>
      <c r="F12" s="4">
        <f t="shared" si="0"/>
        <v>208</v>
      </c>
      <c r="G12" s="4">
        <v>2</v>
      </c>
      <c r="H12" s="1" t="str">
        <f t="shared" si="1"/>
        <v>재시험</v>
      </c>
    </row>
    <row r="14" spans="1:8" x14ac:dyDescent="0.3">
      <c r="A14" s="8" t="s">
        <v>5</v>
      </c>
      <c r="B14" s="9"/>
      <c r="C14" s="9"/>
      <c r="F14" s="8" t="s">
        <v>4</v>
      </c>
    </row>
    <row r="15" spans="1:8" x14ac:dyDescent="0.3">
      <c r="A15" s="10" t="s">
        <v>2</v>
      </c>
      <c r="B15" s="11" t="s">
        <v>27</v>
      </c>
      <c r="C15" s="10" t="s">
        <v>28</v>
      </c>
      <c r="D15" s="10" t="s">
        <v>29</v>
      </c>
      <c r="F15" s="10" t="s">
        <v>2</v>
      </c>
      <c r="G15" s="10" t="s">
        <v>30</v>
      </c>
    </row>
    <row r="16" spans="1:8" x14ac:dyDescent="0.3">
      <c r="A16" s="6" t="s">
        <v>14</v>
      </c>
      <c r="B16" s="6" t="str">
        <f>IF(ISERROR(MATCH(A16,$F$16:$F$19,0)),"X","O")</f>
        <v>O</v>
      </c>
      <c r="C16" s="6" t="s">
        <v>31</v>
      </c>
      <c r="D16" s="6" t="s">
        <v>32</v>
      </c>
      <c r="F16" s="12" t="s">
        <v>14</v>
      </c>
      <c r="G16" s="12" t="s">
        <v>33</v>
      </c>
    </row>
    <row r="17" spans="1:7" x14ac:dyDescent="0.3">
      <c r="A17" s="5" t="s">
        <v>15</v>
      </c>
      <c r="B17" s="6" t="str">
        <f t="shared" ref="B17:B24" si="2">IF(ISERROR(MATCH(A17,$F$16:$F$19,0)),"X","O")</f>
        <v>X</v>
      </c>
      <c r="C17" s="5" t="s">
        <v>34</v>
      </c>
      <c r="D17" s="5" t="s">
        <v>35</v>
      </c>
      <c r="F17" s="12" t="s">
        <v>19</v>
      </c>
      <c r="G17" s="12" t="s">
        <v>36</v>
      </c>
    </row>
    <row r="18" spans="1:7" x14ac:dyDescent="0.3">
      <c r="A18" s="5" t="s">
        <v>16</v>
      </c>
      <c r="B18" s="6" t="str">
        <f t="shared" si="2"/>
        <v>O</v>
      </c>
      <c r="C18" s="5" t="s">
        <v>34</v>
      </c>
      <c r="D18" s="5" t="s">
        <v>35</v>
      </c>
      <c r="F18" s="13" t="s">
        <v>16</v>
      </c>
      <c r="G18" s="13" t="s">
        <v>37</v>
      </c>
    </row>
    <row r="19" spans="1:7" x14ac:dyDescent="0.3">
      <c r="A19" s="5" t="s">
        <v>19</v>
      </c>
      <c r="B19" s="6" t="str">
        <f t="shared" si="2"/>
        <v>O</v>
      </c>
      <c r="C19" s="5" t="s">
        <v>38</v>
      </c>
      <c r="D19" s="5" t="s">
        <v>39</v>
      </c>
      <c r="F19" s="13" t="s">
        <v>17</v>
      </c>
      <c r="G19" s="13" t="s">
        <v>40</v>
      </c>
    </row>
    <row r="20" spans="1:7" x14ac:dyDescent="0.3">
      <c r="A20" s="5" t="s">
        <v>17</v>
      </c>
      <c r="B20" s="6" t="str">
        <f t="shared" si="2"/>
        <v>O</v>
      </c>
      <c r="C20" s="5" t="s">
        <v>34</v>
      </c>
      <c r="D20" s="5" t="s">
        <v>39</v>
      </c>
    </row>
    <row r="21" spans="1:7" x14ac:dyDescent="0.3">
      <c r="A21" s="5" t="s">
        <v>17</v>
      </c>
      <c r="B21" s="6" t="str">
        <f t="shared" si="2"/>
        <v>O</v>
      </c>
      <c r="C21" s="5" t="s">
        <v>34</v>
      </c>
      <c r="D21" s="5" t="s">
        <v>39</v>
      </c>
    </row>
    <row r="22" spans="1:7" x14ac:dyDescent="0.3">
      <c r="A22" s="7" t="s">
        <v>12</v>
      </c>
      <c r="B22" s="6" t="str">
        <f t="shared" si="2"/>
        <v>X</v>
      </c>
      <c r="C22" s="7" t="s">
        <v>31</v>
      </c>
      <c r="D22" s="7" t="s">
        <v>32</v>
      </c>
    </row>
    <row r="23" spans="1:7" x14ac:dyDescent="0.3">
      <c r="A23" s="7" t="s">
        <v>18</v>
      </c>
      <c r="B23" s="6" t="str">
        <f t="shared" si="2"/>
        <v>X</v>
      </c>
      <c r="C23" s="7" t="s">
        <v>31</v>
      </c>
      <c r="D23" s="7" t="s">
        <v>32</v>
      </c>
    </row>
    <row r="24" spans="1:7" x14ac:dyDescent="0.3">
      <c r="A24" s="7" t="s">
        <v>19</v>
      </c>
      <c r="B24" s="6" t="str">
        <f t="shared" si="2"/>
        <v>O</v>
      </c>
      <c r="C24" s="7" t="s">
        <v>41</v>
      </c>
      <c r="D24" s="7" t="s">
        <v>42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2020-10-28T06:13:48Z</dcterms:modified>
</cp:coreProperties>
</file>