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/>
  <workbookPr/>
  <mc:AlternateContent xmlns:mc="http://schemas.openxmlformats.org/markup-compatibility/2006">
    <mc:Choice Requires="x15">
      <x15ac:absPath xmlns:x15ac="http://schemas.microsoft.com/office/spreadsheetml/2010/11/ac" url="C:\Users\sw\Desktop\2024_컴활실기1급\엑셀\완성파일\2장_출제유형03\"/>
    </mc:Choice>
  </mc:AlternateContent>
  <xr:revisionPtr revIDLastSave="0" documentId="8_{FDB1CAEE-3C08-4E6C-8B20-05050F4B378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계산작업-3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4" i="4"/>
  <c r="H22" i="4" l="1"/>
  <c r="C22" i="4"/>
  <c r="H21" i="4"/>
  <c r="C21" i="4"/>
  <c r="H20" i="4"/>
  <c r="C20" i="4"/>
  <c r="H19" i="4"/>
  <c r="C19" i="4"/>
  <c r="H18" i="4"/>
  <c r="C18" i="4"/>
  <c r="H17" i="4"/>
  <c r="C17" i="4"/>
  <c r="H16" i="4"/>
  <c r="C16" i="4"/>
  <c r="H15" i="4"/>
  <c r="C15" i="4"/>
  <c r="C14" i="4"/>
  <c r="C9" i="4"/>
  <c r="C8" i="4"/>
  <c r="C7" i="4"/>
  <c r="C6" i="4"/>
  <c r="C5" i="4"/>
  <c r="C4" i="4"/>
  <c r="C3" i="4"/>
</calcChain>
</file>

<file path=xl/sharedStrings.xml><?xml version="1.0" encoding="utf-8"?>
<sst xmlns="http://schemas.openxmlformats.org/spreadsheetml/2006/main" count="84" uniqueCount="73">
  <si>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</si>
  <si>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</si>
  <si>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</si>
  <si>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</si>
  <si>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[표1] 회원 명단</t>
    <phoneticPr fontId="3" type="noConversion"/>
  </si>
  <si>
    <t>[표2] 농구팀 목록</t>
    <phoneticPr fontId="1" type="noConversion"/>
  </si>
  <si>
    <t>성명</t>
    <phoneticPr fontId="3" type="noConversion"/>
  </si>
  <si>
    <t>주민등록번호</t>
    <phoneticPr fontId="3" type="noConversion"/>
  </si>
  <si>
    <t>생년월일</t>
    <phoneticPr fontId="3" type="noConversion"/>
  </si>
  <si>
    <t>순위</t>
    <phoneticPr fontId="1" type="noConversion"/>
  </si>
  <si>
    <t>팀명</t>
    <phoneticPr fontId="1" type="noConversion"/>
  </si>
  <si>
    <t>감독명</t>
    <phoneticPr fontId="1" type="noConversion"/>
  </si>
  <si>
    <t>비고</t>
    <phoneticPr fontId="1" type="noConversion"/>
  </si>
  <si>
    <t>김윤아</t>
    <phoneticPr fontId="3" type="noConversion"/>
  </si>
  <si>
    <t>970622-*******</t>
    <phoneticPr fontId="3" type="noConversion"/>
  </si>
  <si>
    <t>seoul</t>
    <phoneticPr fontId="1" type="noConversion"/>
  </si>
  <si>
    <t>lee</t>
    <phoneticPr fontId="1" type="noConversion"/>
  </si>
  <si>
    <t>유헌일</t>
    <phoneticPr fontId="3" type="noConversion"/>
  </si>
  <si>
    <t>990102-*******</t>
    <phoneticPr fontId="1" type="noConversion"/>
  </si>
  <si>
    <t>incheon</t>
    <phoneticPr fontId="1" type="noConversion"/>
  </si>
  <si>
    <t>park</t>
    <phoneticPr fontId="1" type="noConversion"/>
  </si>
  <si>
    <t>김수아</t>
    <phoneticPr fontId="3" type="noConversion"/>
  </si>
  <si>
    <t>870524-*******</t>
    <phoneticPr fontId="1" type="noConversion"/>
  </si>
  <si>
    <t>suwon</t>
    <phoneticPr fontId="1" type="noConversion"/>
  </si>
  <si>
    <t>kim1</t>
    <phoneticPr fontId="1" type="noConversion"/>
  </si>
  <si>
    <t>허정현</t>
    <phoneticPr fontId="3" type="noConversion"/>
  </si>
  <si>
    <t>790321-*******</t>
    <phoneticPr fontId="1" type="noConversion"/>
  </si>
  <si>
    <t>ulsan</t>
    <phoneticPr fontId="1" type="noConversion"/>
  </si>
  <si>
    <t>choi</t>
    <phoneticPr fontId="1" type="noConversion"/>
  </si>
  <si>
    <t>남현우</t>
    <phoneticPr fontId="3" type="noConversion"/>
  </si>
  <si>
    <t>961225-*******</t>
    <phoneticPr fontId="1" type="noConversion"/>
  </si>
  <si>
    <t>lim</t>
    <phoneticPr fontId="1" type="noConversion"/>
  </si>
  <si>
    <t>이우리</t>
    <phoneticPr fontId="3" type="noConversion"/>
  </si>
  <si>
    <t>930303-*******</t>
    <phoneticPr fontId="1" type="noConversion"/>
  </si>
  <si>
    <t>paju</t>
    <phoneticPr fontId="1" type="noConversion"/>
  </si>
  <si>
    <t>kim2</t>
    <phoneticPr fontId="1" type="noConversion"/>
  </si>
  <si>
    <t>박정훈</t>
    <phoneticPr fontId="3" type="noConversion"/>
  </si>
  <si>
    <t>890404-*******</t>
    <phoneticPr fontId="1" type="noConversion"/>
  </si>
  <si>
    <t>jeju</t>
    <phoneticPr fontId="1" type="noConversion"/>
  </si>
  <si>
    <t>hong</t>
    <phoneticPr fontId="1" type="noConversion"/>
  </si>
  <si>
    <t>jang</t>
    <phoneticPr fontId="1" type="noConversion"/>
  </si>
  <si>
    <t>[표3] 수강 진행률</t>
    <phoneticPr fontId="1" type="noConversion"/>
  </si>
  <si>
    <t>코드</t>
    <phoneticPr fontId="1" type="noConversion"/>
  </si>
  <si>
    <t>학년</t>
    <phoneticPr fontId="1" type="noConversion"/>
  </si>
  <si>
    <t>수강코드</t>
    <phoneticPr fontId="1" type="noConversion"/>
  </si>
  <si>
    <t>학습과목</t>
    <phoneticPr fontId="1" type="noConversion"/>
  </si>
  <si>
    <t>수강완료</t>
    <phoneticPr fontId="1" type="noConversion"/>
  </si>
  <si>
    <t>전체수강</t>
    <phoneticPr fontId="1" type="noConversion"/>
  </si>
  <si>
    <t>진행률</t>
    <phoneticPr fontId="1" type="noConversion"/>
  </si>
  <si>
    <t>K03</t>
    <phoneticPr fontId="1" type="noConversion"/>
  </si>
  <si>
    <t>고1</t>
    <phoneticPr fontId="1" type="noConversion"/>
  </si>
  <si>
    <t>김서준</t>
  </si>
  <si>
    <t>E02</t>
    <phoneticPr fontId="1" type="noConversion"/>
  </si>
  <si>
    <t>고2</t>
    <phoneticPr fontId="1" type="noConversion"/>
  </si>
  <si>
    <t>김재환</t>
  </si>
  <si>
    <t>M01</t>
    <phoneticPr fontId="1" type="noConversion"/>
  </si>
  <si>
    <t>고3</t>
    <phoneticPr fontId="1" type="noConversion"/>
  </si>
  <si>
    <t>김진현</t>
  </si>
  <si>
    <t>K02</t>
    <phoneticPr fontId="1" type="noConversion"/>
  </si>
  <si>
    <t>김형준</t>
  </si>
  <si>
    <t>K01</t>
    <phoneticPr fontId="1" type="noConversion"/>
  </si>
  <si>
    <t>김형태</t>
  </si>
  <si>
    <t>S03</t>
    <phoneticPr fontId="1" type="noConversion"/>
  </si>
  <si>
    <t>박준선</t>
  </si>
  <si>
    <t>과학</t>
    <phoneticPr fontId="1" type="noConversion"/>
  </si>
  <si>
    <t>M24</t>
    <phoneticPr fontId="1" type="noConversion"/>
  </si>
  <si>
    <t>박철윤</t>
  </si>
  <si>
    <t>S39</t>
    <phoneticPr fontId="1" type="noConversion"/>
  </si>
  <si>
    <t>변석준</t>
  </si>
  <si>
    <t>E88</t>
    <phoneticPr fontId="1" type="noConversion"/>
  </si>
  <si>
    <t>서원희</t>
  </si>
  <si>
    <t>daegu</t>
    <phoneticPr fontId="1" type="noConversion"/>
  </si>
  <si>
    <t>changwon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</si>
</sst>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6" fillId="0" borderId="0"/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0" borderId="0" xfId="0" applyFont="1" applyAlignment="1"/>
    <xf numFmtId="0" fontId="5" fillId="0" borderId="1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0" fillId="0" borderId="1" xfId="0" applyBorder="1">
      <alignment vertical="center"/>
    </xf>
    <xf numFmtId="0" fontId="7" fillId="0" borderId="1" xfId="2" applyFont="1" applyBorder="1" applyAlignment="1">
      <alignment horizontal="center"/>
    </xf>
    <xf numFmtId="31" fontId="5" fillId="0" borderId="1" xfId="0" applyNumberFormat="1" applyFont="1" applyBorder="1" applyAlignment="1">
      <alignment horizontal="center"/>
    </xf>
  </cellXfs>
  <cellStyles count="3">
    <cellStyle name="쉼표 [0] 2 2" xfId="1" xr:uid="{00000000-0005-0000-0000-000000000000}"/>
    <cellStyle name="표준" xfId="0" builtinId="0"/>
    <cellStyle name="표준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2"/>
  <sheetViews>
    <sheetView tabSelected="1" workbookViewId="0">
      <selection activeCell="H29" sqref="H29"/>
    </sheetView>
  </sheetViews>
  <sheetFormatPr defaultRowHeight="16.5"/>
  <cols>
    <col min="2" max="2" width="14" bestFit="1" customWidth="1"/>
    <col min="3" max="3" width="17.125" bestFit="1" customWidth="1"/>
    <col min="4" max="4" width="10.625" customWidth="1"/>
    <col min="8" max="8" width="26.375" customWidth="1"/>
  </cols>
  <sheetData>
    <row r="1" spans="1:8">
      <c r="A1" s="8" t="s">
        <v>4</v>
      </c>
      <c r="B1" s="6"/>
      <c r="C1" s="6"/>
      <c r="D1" s="6"/>
      <c r="E1" s="2" t="s">
        <v>5</v>
      </c>
      <c r="F1" s="2"/>
    </row>
    <row r="2" spans="1:8">
      <c r="A2" s="7" t="s">
        <v>6</v>
      </c>
      <c r="B2" s="7" t="s">
        <v>7</v>
      </c>
      <c r="C2" s="5" t="s">
        <v>8</v>
      </c>
      <c r="E2" s="1" t="s">
        <v>9</v>
      </c>
      <c r="F2" s="1" t="s">
        <v>10</v>
      </c>
      <c r="G2" s="1" t="s">
        <v>11</v>
      </c>
      <c r="H2" s="4" t="s">
        <v>12</v>
      </c>
    </row>
    <row r="3" spans="1:8">
      <c r="A3" s="7" t="s">
        <v>13</v>
      </c>
      <c r="B3" s="7" t="s">
        <v>14</v>
      </c>
      <c r="C3" s="11">
        <f t="shared" ref="C3:C9" si="0">DATE(MID(B3,1,2),MID(B3,3,2),MID(B3,5,2))</f>
        <v>35603</v>
      </c>
      <c r="E3" s="1">
        <v>1</v>
      </c>
      <c r="F3" s="1" t="s">
        <v>15</v>
      </c>
      <c r="G3" s="1" t="s">
        <v>16</v>
      </c>
      <c r="H3" s="1" t="str">
        <f>_xlfn.CONCAT(UPPER(F3),"(",PROPER(G3),")")</f>
        <v>SEOUL(Lee)</v>
      </c>
    </row>
    <row r="4" spans="1:8">
      <c r="A4" s="7" t="s">
        <v>17</v>
      </c>
      <c r="B4" s="7" t="s">
        <v>18</v>
      </c>
      <c r="C4" s="11">
        <f t="shared" si="0"/>
        <v>36162</v>
      </c>
      <c r="E4" s="1">
        <v>2</v>
      </c>
      <c r="F4" s="1" t="s">
        <v>19</v>
      </c>
      <c r="G4" s="1" t="s">
        <v>20</v>
      </c>
      <c r="H4" s="1" t="str">
        <f>_xlfn.CONCAT(UPPER(F4),"(",PROPER(G4),")")</f>
        <v>INCHEON(Park)</v>
      </c>
    </row>
    <row r="5" spans="1:8">
      <c r="A5" s="7" t="s">
        <v>21</v>
      </c>
      <c r="B5" s="7" t="s">
        <v>22</v>
      </c>
      <c r="C5" s="11">
        <f t="shared" si="0"/>
        <v>31921</v>
      </c>
      <c r="E5" s="1">
        <v>3</v>
      </c>
      <c r="F5" s="1" t="s">
        <v>23</v>
      </c>
      <c r="G5" s="1" t="s">
        <v>24</v>
      </c>
      <c r="H5" s="1" t="str">
        <f>_xlfn.CONCAT(UPPER(F5),"(",PROPER(G5),")")</f>
        <v>SUWON(Kim1)</v>
      </c>
    </row>
    <row r="6" spans="1:8">
      <c r="A6" s="7" t="s">
        <v>25</v>
      </c>
      <c r="B6" s="7" t="s">
        <v>26</v>
      </c>
      <c r="C6" s="11">
        <f t="shared" si="0"/>
        <v>28935</v>
      </c>
      <c r="E6" s="1">
        <v>4</v>
      </c>
      <c r="F6" s="1" t="s">
        <v>27</v>
      </c>
      <c r="G6" s="1" t="s">
        <v>28</v>
      </c>
      <c r="H6" s="1" t="str">
        <f>_xlfn.CONCAT(UPPER(F6),"(",PROPER(G6),")")</f>
        <v>ULSAN(Choi)</v>
      </c>
    </row>
    <row r="7" spans="1:8">
      <c r="A7" s="7" t="s">
        <v>29</v>
      </c>
      <c r="B7" s="7" t="s">
        <v>30</v>
      </c>
      <c r="C7" s="11">
        <f t="shared" si="0"/>
        <v>35424</v>
      </c>
      <c r="E7" s="1">
        <v>5</v>
      </c>
      <c r="F7" s="1" t="s">
        <v>71</v>
      </c>
      <c r="G7" s="1" t="s">
        <v>31</v>
      </c>
      <c r="H7" s="1" t="str">
        <f>_xlfn.CONCAT(UPPER(F7),"(",PROPER(G7),")")</f>
        <v>DAEGU(Lim)</v>
      </c>
    </row>
    <row r="8" spans="1:8">
      <c r="A8" s="7" t="s">
        <v>32</v>
      </c>
      <c r="B8" s="7" t="s">
        <v>33</v>
      </c>
      <c r="C8" s="11">
        <f t="shared" si="0"/>
        <v>34031</v>
      </c>
      <c r="E8" s="1">
        <v>6</v>
      </c>
      <c r="F8" s="1" t="s">
        <v>34</v>
      </c>
      <c r="G8" s="1" t="s">
        <v>35</v>
      </c>
      <c r="H8" s="1" t="str">
        <f>_xlfn.CONCAT(UPPER(F8),"(",PROPER(G8),")")</f>
        <v>PAJU(Kim2)</v>
      </c>
    </row>
    <row r="9" spans="1:8">
      <c r="A9" s="7" t="s">
        <v>36</v>
      </c>
      <c r="B9" s="7" t="s">
        <v>37</v>
      </c>
      <c r="C9" s="11">
        <f t="shared" si="0"/>
        <v>32602</v>
      </c>
      <c r="E9" s="1">
        <v>7</v>
      </c>
      <c r="F9" s="1" t="s">
        <v>38</v>
      </c>
      <c r="G9" s="1" t="s">
        <v>39</v>
      </c>
      <c r="H9" s="1" t="str">
        <f>_xlfn.CONCAT(UPPER(F9),"(",PROPER(G9),")")</f>
        <v>JEJU(Hong)</v>
      </c>
    </row>
    <row r="10" spans="1:8">
      <c r="A10" s="3"/>
      <c r="B10" s="3"/>
      <c r="C10" s="3"/>
      <c r="D10" s="3"/>
      <c r="E10" s="1">
        <v>8</v>
      </c>
      <c r="F10" s="1" t="s">
        <v>72</v>
      </c>
      <c r="G10" s="1" t="s">
        <v>40</v>
      </c>
      <c r="H10" s="1" t="str">
        <f>_xlfn.CONCAT(UPPER(F10),"(",PROPER(G10),")")</f>
        <v>CHANGWON(Jang)</v>
      </c>
    </row>
    <row r="12" spans="1:8">
      <c r="A12" s="2" t="s">
        <v>41</v>
      </c>
    </row>
    <row r="13" spans="1:8">
      <c r="A13" s="1" t="s">
        <v>42</v>
      </c>
      <c r="B13" s="1" t="s">
        <v>43</v>
      </c>
      <c r="C13" s="4" t="s">
        <v>44</v>
      </c>
      <c r="D13" s="1" t="s">
        <v>0</v>
      </c>
      <c r="E13" s="1" t="s">
        <v>45</v>
      </c>
      <c r="F13" s="1" t="s">
        <v>46</v>
      </c>
      <c r="G13" s="1" t="s">
        <v>47</v>
      </c>
      <c r="H13" s="4" t="s">
        <v>48</v>
      </c>
    </row>
    <row r="14" spans="1:8">
      <c r="A14" s="1" t="s">
        <v>49</v>
      </c>
      <c r="B14" s="1" t="s">
        <v>50</v>
      </c>
      <c r="C14" s="1" t="str">
        <f>REPLACE(A14,2,0,"-"&amp;RIGHT(B14,1)&amp;"-")</f>
        <v>K-1-03</v>
      </c>
      <c r="D14" s="1" t="s">
        <v>51</v>
      </c>
      <c r="E14" s="1" t="s">
        <v>1</v>
      </c>
      <c r="F14" s="9">
        <v>3</v>
      </c>
      <c r="G14" s="9">
        <v>4</v>
      </c>
      <c r="H14" s="9" t="str">
        <f>REPT("▶",(F14/G14)*10)&amp;TEXT(F14/G14,"0.0%")</f>
        <v>▶▶▶▶▶▶▶75.0%</v>
      </c>
    </row>
    <row r="15" spans="1:8">
      <c r="A15" s="1" t="s">
        <v>52</v>
      </c>
      <c r="B15" s="1" t="s">
        <v>53</v>
      </c>
      <c r="C15" s="1" t="str">
        <f t="shared" ref="C15:C22" si="1">REPLACE(A15,2,0,"-"&amp;RIGHT(B15,1)&amp;"-")</f>
        <v>E-2-02</v>
      </c>
      <c r="D15" s="1" t="s">
        <v>54</v>
      </c>
      <c r="E15" s="1" t="s">
        <v>2</v>
      </c>
      <c r="F15" s="9">
        <v>5</v>
      </c>
      <c r="G15" s="9">
        <v>10</v>
      </c>
      <c r="H15" s="9" t="str">
        <f t="shared" ref="H15:H22" si="2">REPT("▶",(F15/G15)*10)&amp;TEXT(F15/G15,"0.0%")</f>
        <v>▶▶▶▶▶50.0%</v>
      </c>
    </row>
    <row r="16" spans="1:8">
      <c r="A16" s="1" t="s">
        <v>55</v>
      </c>
      <c r="B16" s="1" t="s">
        <v>56</v>
      </c>
      <c r="C16" s="1" t="str">
        <f t="shared" si="1"/>
        <v>M-3-01</v>
      </c>
      <c r="D16" s="1" t="s">
        <v>57</v>
      </c>
      <c r="E16" s="1" t="s">
        <v>3</v>
      </c>
      <c r="F16" s="9">
        <v>2</v>
      </c>
      <c r="G16" s="9">
        <v>3</v>
      </c>
      <c r="H16" s="9" t="str">
        <f t="shared" si="2"/>
        <v>▶▶▶▶▶▶66.7%</v>
      </c>
    </row>
    <row r="17" spans="1:8">
      <c r="A17" s="1" t="s">
        <v>58</v>
      </c>
      <c r="B17" s="1" t="s">
        <v>50</v>
      </c>
      <c r="C17" s="1" t="str">
        <f t="shared" si="1"/>
        <v>K-1-02</v>
      </c>
      <c r="D17" s="10" t="s">
        <v>59</v>
      </c>
      <c r="E17" s="1" t="s">
        <v>1</v>
      </c>
      <c r="F17" s="9">
        <v>6</v>
      </c>
      <c r="G17" s="9">
        <v>10</v>
      </c>
      <c r="H17" s="9" t="str">
        <f t="shared" si="2"/>
        <v>▶▶▶▶▶▶60.0%</v>
      </c>
    </row>
    <row r="18" spans="1:8">
      <c r="A18" s="1" t="s">
        <v>60</v>
      </c>
      <c r="B18" s="1" t="s">
        <v>53</v>
      </c>
      <c r="C18" s="1" t="str">
        <f t="shared" si="1"/>
        <v>K-2-01</v>
      </c>
      <c r="D18" s="10" t="s">
        <v>61</v>
      </c>
      <c r="E18" s="1" t="s">
        <v>1</v>
      </c>
      <c r="F18" s="9">
        <v>3</v>
      </c>
      <c r="G18" s="9">
        <v>3</v>
      </c>
      <c r="H18" s="9" t="str">
        <f t="shared" si="2"/>
        <v>▶▶▶▶▶▶▶▶▶▶100.0%</v>
      </c>
    </row>
    <row r="19" spans="1:8">
      <c r="A19" s="1" t="s">
        <v>62</v>
      </c>
      <c r="B19" s="1" t="s">
        <v>53</v>
      </c>
      <c r="C19" s="1" t="str">
        <f t="shared" si="1"/>
        <v>S-2-03</v>
      </c>
      <c r="D19" s="1" t="s">
        <v>63</v>
      </c>
      <c r="E19" s="1" t="s">
        <v>64</v>
      </c>
      <c r="F19" s="9">
        <v>4</v>
      </c>
      <c r="G19" s="9">
        <v>5</v>
      </c>
      <c r="H19" s="9" t="str">
        <f t="shared" si="2"/>
        <v>▶▶▶▶▶▶▶▶80.0%</v>
      </c>
    </row>
    <row r="20" spans="1:8">
      <c r="A20" s="1" t="s">
        <v>65</v>
      </c>
      <c r="B20" s="1" t="s">
        <v>50</v>
      </c>
      <c r="C20" s="1" t="str">
        <f t="shared" si="1"/>
        <v>M-1-24</v>
      </c>
      <c r="D20" s="10" t="s">
        <v>66</v>
      </c>
      <c r="E20" s="1" t="s">
        <v>3</v>
      </c>
      <c r="F20" s="9">
        <v>5</v>
      </c>
      <c r="G20" s="9">
        <v>6</v>
      </c>
      <c r="H20" s="9" t="str">
        <f t="shared" si="2"/>
        <v>▶▶▶▶▶▶▶▶83.3%</v>
      </c>
    </row>
    <row r="21" spans="1:8">
      <c r="A21" s="1" t="s">
        <v>67</v>
      </c>
      <c r="B21" s="1" t="s">
        <v>56</v>
      </c>
      <c r="C21" s="1" t="str">
        <f t="shared" si="1"/>
        <v>S-3-39</v>
      </c>
      <c r="D21" s="1" t="s">
        <v>68</v>
      </c>
      <c r="E21" s="1" t="s">
        <v>64</v>
      </c>
      <c r="F21" s="9">
        <v>7</v>
      </c>
      <c r="G21" s="9">
        <v>7</v>
      </c>
      <c r="H21" s="9" t="str">
        <f t="shared" si="2"/>
        <v>▶▶▶▶▶▶▶▶▶▶100.0%</v>
      </c>
    </row>
    <row r="22" spans="1:8">
      <c r="A22" s="1" t="s">
        <v>69</v>
      </c>
      <c r="B22" s="1" t="s">
        <v>56</v>
      </c>
      <c r="C22" s="1" t="str">
        <f t="shared" si="1"/>
        <v>E-3-88</v>
      </c>
      <c r="D22" s="10" t="s">
        <v>70</v>
      </c>
      <c r="E22" s="1" t="s">
        <v>2</v>
      </c>
      <c r="F22" s="9">
        <v>4</v>
      </c>
      <c r="G22" s="9">
        <v>7</v>
      </c>
      <c r="H22" s="9" t="str">
        <f t="shared" si="2"/>
        <v>▶▶▶▶▶57.1%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sw</cp:lastModifiedBy>
  <cp:lastPrinted>2020-10-28T05:41:21Z</cp:lastPrinted>
  <dcterms:created xsi:type="dcterms:W3CDTF">2020-10-28T04:59:21Z</dcterms:created>
  <dcterms:modified xsi:type="dcterms:W3CDTF">2023-07-16T21:23:09Z</dcterms:modified>
</cp:coreProperties>
</file>