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innu\OneDrive\바탕 화면\본부장님전송\컴1급실기\컴활1급소스 및 완성 파일\완성 파일\최신유형기출\"/>
    </mc:Choice>
  </mc:AlternateContent>
  <xr:revisionPtr revIDLastSave="0" documentId="13_ncr:1_{000BF0B7-FA12-4CD2-8081-621D516F2371}" xr6:coauthVersionLast="47" xr6:coauthVersionMax="47" xr10:uidLastSave="{00000000-0000-0000-0000-000000000000}"/>
  <bookViews>
    <workbookView xWindow="28680" yWindow="2220" windowWidth="29040" windowHeight="16440" xr2:uid="{00000000-000D-0000-FFFF-FFFF00000000}"/>
  </bookViews>
  <sheets>
    <sheet name="기본작업-1" sheetId="2" r:id="rId1"/>
    <sheet name="기본작업-2" sheetId="3" r:id="rId2"/>
    <sheet name="계산작업" sheetId="4" r:id="rId3"/>
    <sheet name="분석작업-1" sheetId="5" r:id="rId4"/>
    <sheet name="분석작업-2" sheetId="6" r:id="rId5"/>
    <sheet name="기타작업-1" sheetId="7" r:id="rId6"/>
    <sheet name="기타작업-2" sheetId="9" r:id="rId7"/>
    <sheet name="기타작업-3" sheetId="8" r:id="rId8"/>
  </sheets>
  <functionGroups builtInGroupCount="19"/>
  <definedNames>
    <definedName name="_xlnm._FilterDatabase" localSheetId="0" hidden="1">'기본작업-1'!$A$2:$G$25</definedName>
    <definedName name="_xlnm._FilterDatabase" localSheetId="1" hidden="1">'기본작업-2'!$A$2:$F$16</definedName>
    <definedName name="_xlnm._FilterDatabase" localSheetId="4" hidden="1">'분석작업-2'!$A$4:$G$25</definedName>
    <definedName name="_xlnm.Criteria" localSheetId="0">'기본작업-1'!$I$2:$I$3</definedName>
    <definedName name="_xlnm.Criteria" localSheetId="1">'기본작업-2'!#REF!</definedName>
    <definedName name="_xlnm.Extract" localSheetId="0">'기본작업-1'!$I$5:$O$5</definedName>
    <definedName name="_xlnm.Extract" localSheetId="1">'기본작업-2'!#REF!</definedName>
    <definedName name="_xlnm.Print_Area" localSheetId="1">'기본작업-2'!$A$1:$G$16,'기본작업-2'!$A$18:$G$26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4" l="1"/>
  <c r="D27" i="4"/>
  <c r="C28" i="4"/>
  <c r="D28" i="4"/>
  <c r="D26" i="4"/>
  <c r="C26" i="4"/>
  <c r="J7" i="4" a="1"/>
  <c r="J9" i="4" a="1"/>
  <c r="J13" i="4" a="1"/>
  <c r="J15" i="4" a="1"/>
  <c r="J19" i="4" a="1"/>
  <c r="J21" i="4" a="1"/>
  <c r="J6" i="4" a="1"/>
  <c r="J8" i="4" a="1"/>
  <c r="J14" i="4" a="1"/>
  <c r="J18" i="4" a="1"/>
  <c r="J22" i="4" a="1"/>
  <c r="J5" i="4" a="1"/>
  <c r="J11" i="4" a="1"/>
  <c r="J17" i="4" a="1"/>
  <c r="J4" i="4" a="1"/>
  <c r="J10" i="4" a="1"/>
  <c r="J12" i="4" a="1"/>
  <c r="J16" i="4" a="1"/>
  <c r="J20" i="4" a="1"/>
  <c r="J3" i="4" a="1"/>
  <c r="J20" i="4" l="1"/>
  <c r="J16" i="4"/>
  <c r="J12" i="4"/>
  <c r="J10" i="4"/>
  <c r="J4" i="4"/>
  <c r="J17" i="4"/>
  <c r="J11" i="4"/>
  <c r="J5" i="4"/>
  <c r="J22" i="4"/>
  <c r="J18" i="4"/>
  <c r="J14" i="4"/>
  <c r="J8" i="4"/>
  <c r="J6" i="4"/>
  <c r="J21" i="4"/>
  <c r="J19" i="4"/>
  <c r="J15" i="4"/>
  <c r="J13" i="4"/>
  <c r="J9" i="4"/>
  <c r="J7" i="4"/>
  <c r="J3" i="4"/>
  <c r="I26" i="4" a="1"/>
  <c r="I26" i="4" s="1"/>
  <c r="I27" i="4" a="1"/>
  <c r="I27" i="4" s="1"/>
  <c r="I28" i="4" a="1"/>
  <c r="I28" i="4" s="1"/>
  <c r="I29" i="4" a="1"/>
  <c r="I29" i="4" s="1"/>
  <c r="I30" i="4" a="1"/>
  <c r="I30" i="4" s="1"/>
  <c r="I31" i="4" a="1"/>
  <c r="I31" i="4" s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3" i="4"/>
  <c r="G31" i="9" l="1"/>
  <c r="F31" i="9"/>
  <c r="E31" i="9"/>
  <c r="D31" i="9"/>
  <c r="G29" i="9"/>
  <c r="F29" i="9"/>
  <c r="E29" i="9"/>
  <c r="D29" i="9"/>
  <c r="G19" i="9"/>
  <c r="F19" i="9"/>
  <c r="E19" i="9"/>
  <c r="D19" i="9"/>
  <c r="G11" i="9"/>
  <c r="G32" i="9" s="1"/>
  <c r="F11" i="9"/>
  <c r="F32" i="9" s="1"/>
  <c r="E11" i="9"/>
  <c r="E32" i="9" s="1"/>
  <c r="D11" i="9"/>
  <c r="D32" i="9" s="1"/>
  <c r="I3" i="2" l="1"/>
  <c r="C32" i="4" l="1" a="1"/>
  <c r="C32" i="4" s="1"/>
  <c r="D32" i="4" a="1"/>
  <c r="D34" i="4" s="1"/>
  <c r="E32" i="4" a="1"/>
  <c r="E32" i="4" s="1"/>
  <c r="B32" i="4" a="1"/>
  <c r="B32" i="4" s="1"/>
  <c r="E35" i="4" l="1"/>
  <c r="C33" i="4"/>
  <c r="D33" i="4"/>
  <c r="C35" i="4"/>
  <c r="E34" i="4"/>
  <c r="D36" i="4"/>
  <c r="D32" i="4"/>
  <c r="C34" i="4"/>
  <c r="E33" i="4"/>
  <c r="D35" i="4"/>
  <c r="E36" i="4"/>
  <c r="C36" i="4"/>
  <c r="B35" i="4"/>
  <c r="B34" i="4"/>
  <c r="B33" i="4"/>
  <c r="B36" i="4"/>
  <c r="G22" i="4"/>
  <c r="G26" i="3" l="1"/>
  <c r="G21" i="4" l="1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5" i="3"/>
  <c r="G24" i="3"/>
  <c r="G23" i="3"/>
  <c r="G22" i="3"/>
  <c r="G21" i="3"/>
  <c r="G20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H29" i="4" l="1" a="1"/>
  <c r="H29" i="4" s="1"/>
  <c r="H26" i="4" a="1"/>
  <c r="H26" i="4" s="1"/>
  <c r="H27" i="4" a="1"/>
  <c r="H27" i="4" s="1"/>
  <c r="H30" i="4" a="1"/>
  <c r="H30" i="4" s="1"/>
  <c r="H28" i="4" a="1"/>
  <c r="H28" i="4" s="1"/>
  <c r="H31" i="4" a="1"/>
  <c r="H31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응시자료.accdb;DefaultDir=C:\OA;DriverId=25;FIL=MS Access;MaxBufferSize=2048;PageTimeout=5;" command="SELECT 응시자명단.접수번호, 응시자명단.이름, 응시자명단.응시일, 응시자명단.컴퓨터일반, 응시자명단.스프레드시트, 응시자명단.데이터베이스, 응시자명단.워드프로세서_x000d__x000a_FROM `C:\OA\응시자료.accdb`.응시자명단 응시자명단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<sst xmlns="http://schemas.openxmlformats.org/spreadsheetml/2006/main" count="313" uniqueCount="169">
  <si>
    <t>[표1]</t>
    <phoneticPr fontId="2" type="noConversion"/>
  </si>
  <si>
    <t>이름</t>
    <phoneticPr fontId="2" type="noConversion"/>
  </si>
  <si>
    <t>이름</t>
    <phoneticPr fontId="2" type="noConversion"/>
  </si>
  <si>
    <t>응시횟수</t>
    <phoneticPr fontId="2" type="noConversion"/>
  </si>
  <si>
    <t>평균</t>
    <phoneticPr fontId="2" type="noConversion"/>
  </si>
  <si>
    <t>평균</t>
    <phoneticPr fontId="2" type="noConversion"/>
  </si>
  <si>
    <t>[표1]</t>
    <phoneticPr fontId="2" type="noConversion"/>
  </si>
  <si>
    <t>결과</t>
    <phoneticPr fontId="2" type="noConversion"/>
  </si>
  <si>
    <t>[표2] 구분별 개수</t>
    <phoneticPr fontId="2" type="noConversion"/>
  </si>
  <si>
    <t>코드</t>
    <phoneticPr fontId="2" type="noConversion"/>
  </si>
  <si>
    <t>구분</t>
    <phoneticPr fontId="2" type="noConversion"/>
  </si>
  <si>
    <t>[표4] 점수대별 개수</t>
    <phoneticPr fontId="2" type="noConversion"/>
  </si>
  <si>
    <t>점수</t>
    <phoneticPr fontId="2" type="noConversion"/>
  </si>
  <si>
    <t>월</t>
    <phoneticPr fontId="2" type="noConversion"/>
  </si>
  <si>
    <t>[표1]</t>
    <phoneticPr fontId="2" type="noConversion"/>
  </si>
  <si>
    <t>[표2]</t>
    <phoneticPr fontId="2" type="noConversion"/>
  </si>
  <si>
    <t>구분</t>
    <phoneticPr fontId="2" type="noConversion"/>
  </si>
  <si>
    <t>달성여부</t>
    <phoneticPr fontId="2" type="noConversion"/>
  </si>
  <si>
    <t>김서준</t>
  </si>
  <si>
    <t>김재환</t>
  </si>
  <si>
    <t>김진현</t>
  </si>
  <si>
    <t>김형준</t>
  </si>
  <si>
    <t>김형태</t>
  </si>
  <si>
    <t>박준선</t>
  </si>
  <si>
    <t>박철윤</t>
  </si>
  <si>
    <t>변석준</t>
  </si>
  <si>
    <t>서원희</t>
  </si>
  <si>
    <t>서현성</t>
  </si>
  <si>
    <t>송주성</t>
  </si>
  <si>
    <t>오동훈</t>
  </si>
  <si>
    <t>이승엽</t>
  </si>
  <si>
    <t>이진호</t>
  </si>
  <si>
    <t>이혁주</t>
  </si>
  <si>
    <t>인상운</t>
  </si>
  <si>
    <t>임지연</t>
  </si>
  <si>
    <t>전홍주</t>
  </si>
  <si>
    <t>조재경</t>
  </si>
  <si>
    <t>주예찬</t>
  </si>
  <si>
    <t>최인호</t>
  </si>
  <si>
    <t>한병진</t>
  </si>
  <si>
    <t>황일용</t>
  </si>
  <si>
    <t>컴퓨터일반</t>
    <phoneticPr fontId="2" type="noConversion"/>
  </si>
  <si>
    <t>스프레드시트</t>
    <phoneticPr fontId="2" type="noConversion"/>
  </si>
  <si>
    <t>데이터베이스</t>
    <phoneticPr fontId="2" type="noConversion"/>
  </si>
  <si>
    <t>워드프로세서</t>
    <phoneticPr fontId="2" type="noConversion"/>
  </si>
  <si>
    <t>회차</t>
    <phoneticPr fontId="2" type="noConversion"/>
  </si>
  <si>
    <t>접수번호</t>
    <phoneticPr fontId="2" type="noConversion"/>
  </si>
  <si>
    <t>P017</t>
    <phoneticPr fontId="2" type="noConversion"/>
  </si>
  <si>
    <t>Q104</t>
    <phoneticPr fontId="2" type="noConversion"/>
  </si>
  <si>
    <t>P233</t>
    <phoneticPr fontId="2" type="noConversion"/>
  </si>
  <si>
    <t>R011</t>
    <phoneticPr fontId="2" type="noConversion"/>
  </si>
  <si>
    <t>S222</t>
    <phoneticPr fontId="2" type="noConversion"/>
  </si>
  <si>
    <t>P035</t>
    <phoneticPr fontId="2" type="noConversion"/>
  </si>
  <si>
    <t>R003</t>
    <phoneticPr fontId="2" type="noConversion"/>
  </si>
  <si>
    <t>S067</t>
    <phoneticPr fontId="2" type="noConversion"/>
  </si>
  <si>
    <t>R194</t>
    <phoneticPr fontId="2" type="noConversion"/>
  </si>
  <si>
    <t>S217</t>
    <phoneticPr fontId="2" type="noConversion"/>
  </si>
  <si>
    <t>Q200</t>
    <phoneticPr fontId="2" type="noConversion"/>
  </si>
  <si>
    <t>Q301</t>
    <phoneticPr fontId="2" type="noConversion"/>
  </si>
  <si>
    <t>R144</t>
    <phoneticPr fontId="2" type="noConversion"/>
  </si>
  <si>
    <t>R207</t>
    <phoneticPr fontId="2" type="noConversion"/>
  </si>
  <si>
    <t>P032</t>
    <phoneticPr fontId="2" type="noConversion"/>
  </si>
  <si>
    <t>Q290</t>
    <phoneticPr fontId="2" type="noConversion"/>
  </si>
  <si>
    <t>R293</t>
    <phoneticPr fontId="2" type="noConversion"/>
  </si>
  <si>
    <t>Q123</t>
    <phoneticPr fontId="2" type="noConversion"/>
  </si>
  <si>
    <t>Q116</t>
    <phoneticPr fontId="2" type="noConversion"/>
  </si>
  <si>
    <t>P199</t>
    <phoneticPr fontId="2" type="noConversion"/>
  </si>
  <si>
    <t>R195</t>
    <phoneticPr fontId="2" type="noConversion"/>
  </si>
  <si>
    <t>S248</t>
    <phoneticPr fontId="2" type="noConversion"/>
  </si>
  <si>
    <t>S010</t>
    <phoneticPr fontId="2" type="noConversion"/>
  </si>
  <si>
    <t>김성중</t>
  </si>
  <si>
    <t>김소연</t>
  </si>
  <si>
    <t>김수헌</t>
  </si>
  <si>
    <t>김지은</t>
  </si>
  <si>
    <t>김청빈</t>
  </si>
  <si>
    <t>김하람</t>
  </si>
  <si>
    <t>김희진</t>
  </si>
  <si>
    <t>박선우</t>
  </si>
  <si>
    <t>송경진</t>
  </si>
  <si>
    <t>이건훈</t>
  </si>
  <si>
    <t>이철재</t>
  </si>
  <si>
    <t>임시현</t>
  </si>
  <si>
    <t>임율신</t>
  </si>
  <si>
    <t>정바울</t>
  </si>
  <si>
    <t>[표1] 1고사실</t>
    <phoneticPr fontId="2" type="noConversion"/>
  </si>
  <si>
    <t>[표2] 2고사실</t>
    <phoneticPr fontId="2" type="noConversion"/>
  </si>
  <si>
    <t>김성수</t>
  </si>
  <si>
    <t>김형섭</t>
  </si>
  <si>
    <t>성중곤</t>
  </si>
  <si>
    <t>송용혁</t>
  </si>
  <si>
    <t>이돈건</t>
  </si>
  <si>
    <t>이의종</t>
  </si>
  <si>
    <t>전호종</t>
  </si>
  <si>
    <t>4월</t>
    <phoneticPr fontId="2" type="noConversion"/>
  </si>
  <si>
    <t>5월</t>
    <phoneticPr fontId="2" type="noConversion"/>
  </si>
  <si>
    <t>6월</t>
    <phoneticPr fontId="2" type="noConversion"/>
  </si>
  <si>
    <t>7월</t>
    <phoneticPr fontId="2" type="noConversion"/>
  </si>
  <si>
    <t>1차</t>
    <phoneticPr fontId="2" type="noConversion"/>
  </si>
  <si>
    <t>2차</t>
    <phoneticPr fontId="2" type="noConversion"/>
  </si>
  <si>
    <t>3차</t>
  </si>
  <si>
    <t>4차</t>
  </si>
  <si>
    <t>1차</t>
    <phoneticPr fontId="2" type="noConversion"/>
  </si>
  <si>
    <t>2차</t>
    <phoneticPr fontId="2" type="noConversion"/>
  </si>
  <si>
    <t>총점</t>
    <phoneticPr fontId="2" type="noConversion"/>
  </si>
  <si>
    <t>결석시수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</si>
  <si>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</si>
  <si>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</si>
  <si>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</si>
  <si>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초급</t>
    <phoneticPr fontId="2" type="noConversion"/>
  </si>
  <si>
    <t>중급</t>
    <phoneticPr fontId="2" type="noConversion"/>
  </si>
  <si>
    <t>고급</t>
    <phoneticPr fontId="2" type="noConversion"/>
  </si>
  <si>
    <t>3차</t>
    <phoneticPr fontId="2" type="noConversion"/>
  </si>
  <si>
    <t>4차</t>
    <phoneticPr fontId="2" type="noConversion"/>
  </si>
  <si>
    <t>수험번호</t>
    <phoneticPr fontId="2" type="noConversion"/>
  </si>
  <si>
    <t>1A-25</t>
    <phoneticPr fontId="2" type="noConversion"/>
  </si>
  <si>
    <t>2B-33</t>
    <phoneticPr fontId="2" type="noConversion"/>
  </si>
  <si>
    <t>4A-48</t>
    <phoneticPr fontId="2" type="noConversion"/>
  </si>
  <si>
    <t>6C-60</t>
  </si>
  <si>
    <t>6C-60</t>
    <phoneticPr fontId="2" type="noConversion"/>
  </si>
  <si>
    <t>1A-25</t>
    <phoneticPr fontId="2" type="noConversion"/>
  </si>
  <si>
    <t>1A-25</t>
    <phoneticPr fontId="2" type="noConversion"/>
  </si>
  <si>
    <t>1A-25</t>
    <phoneticPr fontId="2" type="noConversion"/>
  </si>
  <si>
    <t>2B-33</t>
    <phoneticPr fontId="2" type="noConversion"/>
  </si>
  <si>
    <t>3C-50</t>
    <phoneticPr fontId="2" type="noConversion"/>
  </si>
  <si>
    <t>3C-50</t>
    <phoneticPr fontId="2" type="noConversion"/>
  </si>
  <si>
    <t>3C-50</t>
    <phoneticPr fontId="2" type="noConversion"/>
  </si>
  <si>
    <t>4A-48</t>
    <phoneticPr fontId="2" type="noConversion"/>
  </si>
  <si>
    <t>4A-48</t>
    <phoneticPr fontId="2" type="noConversion"/>
  </si>
  <si>
    <t>5B-65</t>
    <phoneticPr fontId="2" type="noConversion"/>
  </si>
  <si>
    <t>5B-65</t>
    <phoneticPr fontId="2" type="noConversion"/>
  </si>
  <si>
    <t>5B-65</t>
    <phoneticPr fontId="2" type="noConversion"/>
  </si>
  <si>
    <t>구분코드</t>
    <phoneticPr fontId="2" type="noConversion"/>
  </si>
  <si>
    <t>[표3] 구분코드별 총점/결석시수 평균</t>
    <phoneticPr fontId="2" type="noConversion"/>
  </si>
  <si>
    <t>구분코드</t>
    <phoneticPr fontId="2" type="noConversion"/>
  </si>
  <si>
    <t>총점 평균</t>
    <phoneticPr fontId="2" type="noConversion"/>
  </si>
  <si>
    <t>결석시수 평균</t>
    <phoneticPr fontId="2" type="noConversion"/>
  </si>
  <si>
    <t>평가</t>
    <phoneticPr fontId="2" type="noConversion"/>
  </si>
  <si>
    <t>응시월</t>
    <phoneticPr fontId="2" type="noConversion"/>
  </si>
  <si>
    <t>판매자</t>
    <phoneticPr fontId="2" type="noConversion"/>
  </si>
  <si>
    <t>판매자</t>
    <phoneticPr fontId="2" type="noConversion"/>
  </si>
  <si>
    <t>김진아</t>
    <phoneticPr fontId="2" type="noConversion"/>
  </si>
  <si>
    <t>이선호</t>
    <phoneticPr fontId="2" type="noConversion"/>
  </si>
  <si>
    <t>이재진</t>
    <phoneticPr fontId="2" type="noConversion"/>
  </si>
  <si>
    <t>김규리</t>
    <phoneticPr fontId="2" type="noConversion"/>
  </si>
  <si>
    <t>판매시간</t>
    <phoneticPr fontId="2" type="noConversion"/>
  </si>
  <si>
    <t>지점명</t>
    <phoneticPr fontId="2" type="noConversion"/>
  </si>
  <si>
    <t>판매계획</t>
    <phoneticPr fontId="2" type="noConversion"/>
  </si>
  <si>
    <t>판매달성</t>
    <phoneticPr fontId="2" type="noConversion"/>
  </si>
  <si>
    <t>조건</t>
    <phoneticPr fontId="2" type="noConversion"/>
  </si>
  <si>
    <t>총합계</t>
  </si>
  <si>
    <t>개수 : 이름</t>
  </si>
  <si>
    <t>평균 : 스프레드시트</t>
  </si>
  <si>
    <t>2020-04-01 - 2020-04-20</t>
  </si>
  <si>
    <t>2020-04-21 - 2020-05-10</t>
  </si>
  <si>
    <t>2020-05-11 - 2020-05-30</t>
  </si>
  <si>
    <t>2020-05-31 - 2020-06-19</t>
  </si>
  <si>
    <t>2020-06-20 - 2020-07-02</t>
  </si>
  <si>
    <t>응시일</t>
  </si>
  <si>
    <t>이선호</t>
  </si>
  <si>
    <t>오후</t>
  </si>
  <si>
    <t>부산</t>
  </si>
  <si>
    <t>실적부진</t>
  </si>
  <si>
    <t>김형준</t>
    <phoneticPr fontId="2" type="noConversion"/>
  </si>
  <si>
    <t>이승엽</t>
    <phoneticPr fontId="2" type="noConversion"/>
  </si>
  <si>
    <t>최인호</t>
    <phoneticPr fontId="2" type="noConversion"/>
  </si>
  <si>
    <t>4월 요약</t>
  </si>
  <si>
    <t>5월 요약</t>
  </si>
  <si>
    <t>6월 요약</t>
  </si>
  <si>
    <t>7월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</si>
</sst>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&quot;월&quot;"/>
    <numFmt numFmtId="177" formatCode="[$-409]h:mm\ AM/PM;@"/>
    <numFmt numFmtId="178" formatCode="m&quot;월&quot;"/>
    <numFmt numFmtId="179" formatCode="0_ 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333333"/>
      <name val="Arial"/>
      <family val="2"/>
    </font>
    <font>
      <sz val="11"/>
      <color rgb="FF333333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78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78" fontId="6" fillId="0" borderId="0" xfId="0" applyNumberFormat="1" applyFont="1" applyAlignment="1">
      <alignment horizontal="center" vertical="center"/>
    </xf>
  </cellXfs>
  <cellStyles count="2">
    <cellStyle name="보통" xfId="1" builtinId="28"/>
    <cellStyle name="표준" xfId="0" builtinId="0"/>
  </cellStyles>
  <dxfs count="5">
    <dxf>
      <fill>
        <patternFill patternType="solid">
          <fgColor rgb="FFFFEB9C"/>
          <bgColor rgb="FF000000"/>
        </patternFill>
      </fill>
    </dxf>
    <dxf>
      <fill>
        <patternFill patternType="solid">
          <fgColor rgb="FFFFEB9C"/>
          <bgColor rgb="FF000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 patternType="solid">
          <fgColor rgb="FFFFEB9C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월별 성적자료</a:t>
            </a:r>
            <a:endParaRPr lang="ko-KR" altLang="en-US"/>
          </a:p>
        </c:rich>
      </c:tx>
      <c:overlay val="0"/>
      <c:spPr>
        <a:gradFill rotWithShape="1">
          <a:gsLst>
            <a:gs pos="0">
              <a:schemeClr val="accent4">
                <a:satMod val="103000"/>
                <a:lumMod val="102000"/>
                <a:tint val="94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4월</c:v>
                </c:pt>
              </c:strCache>
            </c:strRef>
          </c:tx>
          <c:invertIfNegative val="0"/>
          <c:dLbls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BE-4CE5-A134-4010E76C2B2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'기타작업-1'!$C$2:$F$2</c:f>
              <c:strCache>
                <c:ptCount val="4"/>
                <c:pt idx="0">
                  <c:v>컴퓨터일반</c:v>
                </c:pt>
                <c:pt idx="1">
                  <c:v>스프레드시트</c:v>
                </c:pt>
                <c:pt idx="2">
                  <c:v>데이터베이스</c:v>
                </c:pt>
                <c:pt idx="3">
                  <c:v>워드프로세서</c:v>
                </c:pt>
              </c:strCache>
            </c:strRef>
          </c:cat>
          <c:val>
            <c:numRef>
              <c:f>'기타작업-1'!$C$3:$F$3</c:f>
              <c:numCache>
                <c:formatCode>General</c:formatCode>
                <c:ptCount val="4"/>
                <c:pt idx="0">
                  <c:v>100</c:v>
                </c:pt>
                <c:pt idx="1">
                  <c:v>95</c:v>
                </c:pt>
                <c:pt idx="2">
                  <c:v>98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95-4850-844B-258880ED284C}"/>
            </c:ext>
          </c:extLst>
        </c:ser>
        <c:ser>
          <c:idx val="1"/>
          <c:order val="1"/>
          <c:tx>
            <c:strRef>
              <c:f>'기타작업-1'!$B$4</c:f>
              <c:strCache>
                <c:ptCount val="1"/>
                <c:pt idx="0">
                  <c:v>5월</c:v>
                </c:pt>
              </c:strCache>
            </c:strRef>
          </c:tx>
          <c:invertIfNegative val="0"/>
          <c:cat>
            <c:strRef>
              <c:f>'기타작업-1'!$C$2:$F$2</c:f>
              <c:strCache>
                <c:ptCount val="4"/>
                <c:pt idx="0">
                  <c:v>컴퓨터일반</c:v>
                </c:pt>
                <c:pt idx="1">
                  <c:v>스프레드시트</c:v>
                </c:pt>
                <c:pt idx="2">
                  <c:v>데이터베이스</c:v>
                </c:pt>
                <c:pt idx="3">
                  <c:v>워드프로세서</c:v>
                </c:pt>
              </c:strCache>
            </c:strRef>
          </c:cat>
          <c:val>
            <c:numRef>
              <c:f>'기타작업-1'!$C$4:$F$4</c:f>
              <c:numCache>
                <c:formatCode>General</c:formatCode>
                <c:ptCount val="4"/>
                <c:pt idx="0">
                  <c:v>85</c:v>
                </c:pt>
                <c:pt idx="1">
                  <c:v>80</c:v>
                </c:pt>
                <c:pt idx="2">
                  <c:v>75</c:v>
                </c:pt>
                <c:pt idx="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95-4850-844B-258880ED284C}"/>
            </c:ext>
          </c:extLst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6월</c:v>
                </c:pt>
              </c:strCache>
            </c:strRef>
          </c:tx>
          <c:invertIfNegative val="0"/>
          <c:cat>
            <c:strRef>
              <c:f>'기타작업-1'!$C$2:$F$2</c:f>
              <c:strCache>
                <c:ptCount val="4"/>
                <c:pt idx="0">
                  <c:v>컴퓨터일반</c:v>
                </c:pt>
                <c:pt idx="1">
                  <c:v>스프레드시트</c:v>
                </c:pt>
                <c:pt idx="2">
                  <c:v>데이터베이스</c:v>
                </c:pt>
                <c:pt idx="3">
                  <c:v>워드프로세서</c:v>
                </c:pt>
              </c:strCache>
            </c:strRef>
          </c:cat>
          <c:val>
            <c:numRef>
              <c:f>'기타작업-1'!$C$5:$F$5</c:f>
              <c:numCache>
                <c:formatCode>General</c:formatCode>
                <c:ptCount val="4"/>
                <c:pt idx="0">
                  <c:v>65</c:v>
                </c:pt>
                <c:pt idx="1">
                  <c:v>75</c:v>
                </c:pt>
                <c:pt idx="2">
                  <c:v>66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95-4850-844B-258880ED2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558144"/>
        <c:axId val="64428800"/>
      </c:barChart>
      <c:lineChart>
        <c:grouping val="standard"/>
        <c:varyColors val="0"/>
        <c:ser>
          <c:idx val="3"/>
          <c:order val="3"/>
          <c:tx>
            <c:strRef>
              <c:f>'기타작업-1'!$B$6</c:f>
              <c:strCache>
                <c:ptCount val="1"/>
                <c:pt idx="0">
                  <c:v>7월</c:v>
                </c:pt>
              </c:strCache>
            </c:strRef>
          </c:tx>
          <c:cat>
            <c:strRef>
              <c:f>'기타작업-1'!$C$2:$F$2</c:f>
              <c:strCache>
                <c:ptCount val="4"/>
                <c:pt idx="0">
                  <c:v>컴퓨터일반</c:v>
                </c:pt>
                <c:pt idx="1">
                  <c:v>스프레드시트</c:v>
                </c:pt>
                <c:pt idx="2">
                  <c:v>데이터베이스</c:v>
                </c:pt>
                <c:pt idx="3">
                  <c:v>워드프로세서</c:v>
                </c:pt>
              </c:strCache>
            </c:strRef>
          </c:cat>
          <c:val>
            <c:numRef>
              <c:f>'기타작업-1'!$C$6:$F$6</c:f>
              <c:numCache>
                <c:formatCode>General</c:formatCode>
                <c:ptCount val="4"/>
                <c:pt idx="0">
                  <c:v>97</c:v>
                </c:pt>
                <c:pt idx="1">
                  <c:v>95</c:v>
                </c:pt>
                <c:pt idx="2">
                  <c:v>85</c:v>
                </c:pt>
                <c:pt idx="3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5-4850-844B-258880ED2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558144"/>
        <c:axId val="64428800"/>
      </c:lineChart>
      <c:catAx>
        <c:axId val="87558144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nextTo"/>
        <c:crossAx val="64428800"/>
        <c:crosses val="autoZero"/>
        <c:auto val="1"/>
        <c:lblAlgn val="ctr"/>
        <c:lblOffset val="100"/>
        <c:noMultiLvlLbl val="0"/>
      </c:catAx>
      <c:valAx>
        <c:axId val="64428800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558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7</xdr:row>
      <xdr:rowOff>0</xdr:rowOff>
    </xdr:from>
    <xdr:to>
      <xdr:col>7</xdr:col>
      <xdr:colOff>9524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4</xdr:col>
      <xdr:colOff>0</xdr:colOff>
      <xdr:row>2</xdr:row>
      <xdr:rowOff>0</xdr:rowOff>
    </xdr:to>
    <xdr:sp macro="[0]!부분합계산" textlink="">
      <xdr:nvSpPr>
        <xdr:cNvPr id="2" name="배지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371600" y="0"/>
          <a:ext cx="1743075" cy="4191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부분합계산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2</xdr:row>
      <xdr:rowOff>0</xdr:rowOff>
    </xdr:to>
    <xdr:sp macro="[0]!부분합삭제" textlink="">
      <xdr:nvSpPr>
        <xdr:cNvPr id="3" name="배지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10025" y="0"/>
          <a:ext cx="1790700" cy="4191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부분합삭제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676275</xdr:colOff>
          <xdr:row>0</xdr:row>
          <xdr:rowOff>123825</xdr:rowOff>
        </xdr:from>
        <xdr:to>
          <xdr:col>8</xdr:col>
          <xdr:colOff>28575</xdr:colOff>
          <xdr:row>2</xdr:row>
          <xdr:rowOff>47625</xdr:rowOff>
        </xdr:to>
        <xdr:sp macro="" textlink="">
          <xdr:nvSpPr>
            <xdr:cNvPr id="2049" name="cmd판매현황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남오" refreshedDate="44059.611891782406" createdVersion="6" refreshedVersion="6" minRefreshableVersion="3" recordCount="23" xr:uid="{00000000-000A-0000-FFFF-FFFF09000000}">
  <cacheSource type="external" connectionId="1"/>
  <cacheFields count="7">
    <cacheField name="접수번호" numFmtId="0" sqlType="-9">
      <sharedItems count="23">
        <s v="P017"/>
        <s v="Q104"/>
        <s v="P233"/>
        <s v="R011"/>
        <s v="S222"/>
        <s v="P035"/>
        <s v="R003"/>
        <s v="S067"/>
        <s v="R194"/>
        <s v="S217"/>
        <s v="Q200"/>
        <s v="Q301"/>
        <s v="R144"/>
        <s v="R207"/>
        <s v="P032"/>
        <s v="Q290"/>
        <s v="R293"/>
        <s v="S248"/>
        <s v="S010"/>
        <s v="R195"/>
        <s v="P199"/>
        <s v="Q116"/>
        <s v="Q123"/>
      </sharedItems>
    </cacheField>
    <cacheField name="이름" numFmtId="0" sqlType="-9">
      <sharedItems count="23">
        <s v="김서준"/>
        <s v="김재환"/>
        <s v="김진현"/>
        <s v="김형준"/>
        <s v="김형태"/>
        <s v="박준선"/>
        <s v="박철윤"/>
        <s v="변석준"/>
        <s v="서원희"/>
        <s v="서현성"/>
        <s v="송주성"/>
        <s v="오동훈"/>
        <s v="이승엽"/>
        <s v="이진호"/>
        <s v="이혁주"/>
        <s v="인상운"/>
        <s v="임지연"/>
        <s v="전홍주"/>
        <s v="조재경"/>
        <s v="주예찬"/>
        <s v="최인호"/>
        <s v="한병진"/>
        <s v="황일용"/>
      </sharedItems>
    </cacheField>
    <cacheField name="응시일" numFmtId="0" sqlType="11">
      <sharedItems containsSemiMixedTypes="0" containsNonDate="0" containsDate="1" containsString="0" minDate="2020-04-01T00:00:00" maxDate="2020-07-02T00:00:00" count="20">
        <d v="2020-05-23T00:00:00"/>
        <d v="2020-05-25T00:00:00"/>
        <d v="2020-06-03T00:00:00"/>
        <d v="2020-04-23T00:00:00"/>
        <d v="2020-04-01T00:00:00"/>
        <d v="2020-04-11T00:00:00"/>
        <d v="2020-04-15T00:00:00"/>
        <d v="2020-04-21T00:00:00"/>
        <d v="2020-05-07T00:00:00"/>
        <d v="2020-06-07T00:00:00"/>
        <d v="2020-06-05T00:00:00"/>
        <d v="2020-06-09T00:00:00"/>
        <d v="2020-06-11T00:00:00"/>
        <d v="2020-06-21T00:00:00"/>
        <d v="2020-06-20T00:00:00"/>
        <d v="2020-05-08T00:00:00"/>
        <d v="2020-05-10T00:00:00"/>
        <d v="2020-05-21T00:00:00"/>
        <d v="2020-06-22T00:00:00"/>
        <d v="2020-07-01T00:00:00"/>
      </sharedItems>
      <fieldGroup base="2">
        <rangePr groupBy="days" startDate="2020-04-01T00:00:00" endDate="2020-07-02T00:00:00" groupInterval="20"/>
        <groupItems count="7">
          <s v="&lt;2020-04-01"/>
          <s v="2020-04-01 - 2020-04-20"/>
          <s v="2020-04-21 - 2020-05-10"/>
          <s v="2020-05-11 - 2020-05-30"/>
          <s v="2020-05-31 - 2020-06-19"/>
          <s v="2020-06-20 - 2020-07-02"/>
          <s v="&gt;2020-07-02"/>
        </groupItems>
      </fieldGroup>
    </cacheField>
    <cacheField name="컴퓨터일반" numFmtId="0" sqlType="8">
      <sharedItems containsSemiMixedTypes="0" containsString="0" containsNumber="1" containsInteger="1" minValue="43" maxValue="100" count="18">
        <n v="86"/>
        <n v="98"/>
        <n v="63"/>
        <n v="55"/>
        <n v="54"/>
        <n v="95"/>
        <n v="90"/>
        <n v="100"/>
        <n v="70"/>
        <n v="94"/>
        <n v="75"/>
        <n v="65"/>
        <n v="43"/>
        <n v="52"/>
        <n v="53"/>
        <n v="82"/>
        <n v="51"/>
        <n v="99"/>
      </sharedItems>
    </cacheField>
    <cacheField name="스프레드시트" numFmtId="0" sqlType="8">
      <sharedItems containsSemiMixedTypes="0" containsString="0" containsNumber="1" containsInteger="1" minValue="24" maxValue="100" count="21">
        <n v="45"/>
        <n v="96"/>
        <n v="94"/>
        <n v="84"/>
        <n v="100"/>
        <n v="59"/>
        <n v="97"/>
        <n v="69"/>
        <n v="24"/>
        <n v="63"/>
        <n v="75"/>
        <n v="86"/>
        <n v="51"/>
        <n v="48"/>
        <n v="82"/>
        <n v="72"/>
        <n v="52"/>
        <n v="92"/>
        <n v="77"/>
        <n v="57"/>
        <n v="85"/>
      </sharedItems>
    </cacheField>
    <cacheField name="데이터베이스" numFmtId="0" sqlType="8">
      <sharedItems containsSemiMixedTypes="0" containsString="0" containsNumber="1" containsInteger="1" minValue="44" maxValue="100" count="17">
        <n v="75"/>
        <n v="86"/>
        <n v="89"/>
        <n v="63"/>
        <n v="95"/>
        <n v="50"/>
        <n v="54"/>
        <n v="100"/>
        <n v="96"/>
        <n v="90"/>
        <n v="85"/>
        <n v="44"/>
        <n v="70"/>
        <n v="78"/>
        <n v="49"/>
        <n v="84"/>
        <n v="76"/>
      </sharedItems>
    </cacheField>
    <cacheField name="워드프로세서" numFmtId="0" sqlType="8">
      <sharedItems containsSemiMixedTypes="0" containsString="0" containsNumber="1" containsInteger="1" minValue="54" maxValue="100" count="19">
        <n v="70"/>
        <n v="89"/>
        <n v="90"/>
        <n v="55"/>
        <n v="96"/>
        <n v="54"/>
        <n v="92"/>
        <n v="66"/>
        <n v="63"/>
        <n v="79"/>
        <n v="95"/>
        <n v="80"/>
        <n v="88"/>
        <n v="60"/>
        <n v="75"/>
        <n v="100"/>
        <n v="65"/>
        <n v="69"/>
        <n v="7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  <x v="0"/>
    <x v="0"/>
    <x v="0"/>
  </r>
  <r>
    <x v="1"/>
    <x v="1"/>
    <x v="1"/>
    <x v="1"/>
    <x v="1"/>
    <x v="1"/>
    <x v="1"/>
  </r>
  <r>
    <x v="2"/>
    <x v="2"/>
    <x v="2"/>
    <x v="2"/>
    <x v="2"/>
    <x v="2"/>
    <x v="2"/>
  </r>
  <r>
    <x v="3"/>
    <x v="3"/>
    <x v="3"/>
    <x v="3"/>
    <x v="3"/>
    <x v="3"/>
    <x v="3"/>
  </r>
  <r>
    <x v="4"/>
    <x v="4"/>
    <x v="4"/>
    <x v="1"/>
    <x v="4"/>
    <x v="4"/>
    <x v="4"/>
  </r>
  <r>
    <x v="5"/>
    <x v="5"/>
    <x v="5"/>
    <x v="4"/>
    <x v="5"/>
    <x v="5"/>
    <x v="5"/>
  </r>
  <r>
    <x v="6"/>
    <x v="6"/>
    <x v="6"/>
    <x v="5"/>
    <x v="6"/>
    <x v="4"/>
    <x v="6"/>
  </r>
  <r>
    <x v="7"/>
    <x v="7"/>
    <x v="6"/>
    <x v="6"/>
    <x v="7"/>
    <x v="2"/>
    <x v="2"/>
  </r>
  <r>
    <x v="8"/>
    <x v="8"/>
    <x v="7"/>
    <x v="7"/>
    <x v="8"/>
    <x v="6"/>
    <x v="7"/>
  </r>
  <r>
    <x v="9"/>
    <x v="9"/>
    <x v="8"/>
    <x v="8"/>
    <x v="9"/>
    <x v="4"/>
    <x v="8"/>
  </r>
  <r>
    <x v="10"/>
    <x v="10"/>
    <x v="9"/>
    <x v="9"/>
    <x v="10"/>
    <x v="7"/>
    <x v="9"/>
  </r>
  <r>
    <x v="11"/>
    <x v="11"/>
    <x v="10"/>
    <x v="10"/>
    <x v="11"/>
    <x v="8"/>
    <x v="10"/>
  </r>
  <r>
    <x v="12"/>
    <x v="12"/>
    <x v="11"/>
    <x v="4"/>
    <x v="12"/>
    <x v="9"/>
    <x v="11"/>
  </r>
  <r>
    <x v="13"/>
    <x v="13"/>
    <x v="12"/>
    <x v="6"/>
    <x v="1"/>
    <x v="10"/>
    <x v="12"/>
  </r>
  <r>
    <x v="14"/>
    <x v="14"/>
    <x v="13"/>
    <x v="11"/>
    <x v="13"/>
    <x v="11"/>
    <x v="13"/>
  </r>
  <r>
    <x v="15"/>
    <x v="15"/>
    <x v="14"/>
    <x v="12"/>
    <x v="9"/>
    <x v="12"/>
    <x v="14"/>
  </r>
  <r>
    <x v="16"/>
    <x v="16"/>
    <x v="15"/>
    <x v="6"/>
    <x v="14"/>
    <x v="4"/>
    <x v="15"/>
  </r>
  <r>
    <x v="17"/>
    <x v="17"/>
    <x v="15"/>
    <x v="13"/>
    <x v="15"/>
    <x v="13"/>
    <x v="16"/>
  </r>
  <r>
    <x v="18"/>
    <x v="18"/>
    <x v="16"/>
    <x v="10"/>
    <x v="16"/>
    <x v="3"/>
    <x v="17"/>
  </r>
  <r>
    <x v="19"/>
    <x v="19"/>
    <x v="17"/>
    <x v="14"/>
    <x v="17"/>
    <x v="14"/>
    <x v="9"/>
  </r>
  <r>
    <x v="20"/>
    <x v="20"/>
    <x v="18"/>
    <x v="15"/>
    <x v="18"/>
    <x v="15"/>
    <x v="16"/>
  </r>
  <r>
    <x v="21"/>
    <x v="21"/>
    <x v="19"/>
    <x v="16"/>
    <x v="19"/>
    <x v="16"/>
    <x v="4"/>
  </r>
  <r>
    <x v="22"/>
    <x v="22"/>
    <x v="12"/>
    <x v="17"/>
    <x v="20"/>
    <x v="15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3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A2:C8" firstHeaderRow="0" firstDataRow="1" firstDataCol="1"/>
  <pivotFields count="7">
    <pivotField compact="0" showAll="0"/>
    <pivotField dataField="1" compact="0" showAll="0"/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  <pivotField dataField="1" compact="0" showAll="0"/>
    <pivotField compact="0" showAll="0"/>
    <pivotField compact="0" showAll="0"/>
  </pivotFields>
  <rowFields count="1"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개수 : 이름" fld="1" subtotal="count" baseField="0" baseItem="0"/>
    <dataField name="평균 : 스프레드시트" fld="4" subtotal="average" baseField="0" baseItem="0" numFmtId="179"/>
  </data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25"/>
  <sheetViews>
    <sheetView tabSelected="1" workbookViewId="0"/>
  </sheetViews>
  <sheetFormatPr defaultRowHeight="16.5" x14ac:dyDescent="0.3"/>
  <cols>
    <col min="1" max="3" width="9.75" customWidth="1"/>
    <col min="4" max="7" width="11.75" customWidth="1"/>
    <col min="12" max="12" width="10.375" bestFit="1" customWidth="1"/>
    <col min="13" max="15" width="12.375" bestFit="1" customWidth="1"/>
  </cols>
  <sheetData>
    <row r="1" spans="1:15" x14ac:dyDescent="0.3">
      <c r="A1" t="s">
        <v>0</v>
      </c>
    </row>
    <row r="2" spans="1:15" x14ac:dyDescent="0.3">
      <c r="A2" s="1" t="s">
        <v>46</v>
      </c>
      <c r="B2" s="1" t="s">
        <v>1</v>
      </c>
      <c r="C2" s="1" t="s">
        <v>45</v>
      </c>
      <c r="D2" s="1" t="s">
        <v>41</v>
      </c>
      <c r="E2" s="1" t="s">
        <v>42</v>
      </c>
      <c r="F2" s="1" t="s">
        <v>43</v>
      </c>
      <c r="G2" s="1" t="s">
        <v>44</v>
      </c>
      <c r="I2" s="16" t="s">
        <v>148</v>
      </c>
    </row>
    <row r="3" spans="1:15" x14ac:dyDescent="0.3">
      <c r="A3" s="4" t="s">
        <v>47</v>
      </c>
      <c r="B3" s="8" t="s">
        <v>18</v>
      </c>
      <c r="C3" s="1">
        <v>2</v>
      </c>
      <c r="D3" s="3">
        <v>86</v>
      </c>
      <c r="E3" s="3">
        <v>45</v>
      </c>
      <c r="F3" s="3">
        <v>75</v>
      </c>
      <c r="G3" s="3">
        <v>70</v>
      </c>
      <c r="I3" t="b">
        <f>AND(MID(A3,2,1)="2",D3&lt;=SMALL($D$3:$D$25,10))</f>
        <v>0</v>
      </c>
    </row>
    <row r="4" spans="1:15" x14ac:dyDescent="0.3">
      <c r="A4" s="4" t="s">
        <v>48</v>
      </c>
      <c r="B4" s="8" t="s">
        <v>19</v>
      </c>
      <c r="C4" s="1">
        <v>1</v>
      </c>
      <c r="D4" s="3">
        <v>98</v>
      </c>
      <c r="E4" s="3">
        <v>96</v>
      </c>
      <c r="F4" s="3">
        <v>86</v>
      </c>
      <c r="G4" s="3">
        <v>89</v>
      </c>
    </row>
    <row r="5" spans="1:15" x14ac:dyDescent="0.3">
      <c r="A5" s="4" t="s">
        <v>49</v>
      </c>
      <c r="B5" s="8" t="s">
        <v>20</v>
      </c>
      <c r="C5" s="1">
        <v>3</v>
      </c>
      <c r="D5" s="3">
        <v>63</v>
      </c>
      <c r="E5" s="3">
        <v>94</v>
      </c>
      <c r="F5" s="3">
        <v>89</v>
      </c>
      <c r="G5" s="3">
        <v>90</v>
      </c>
      <c r="I5" s="1" t="s">
        <v>46</v>
      </c>
      <c r="J5" s="1" t="s">
        <v>1</v>
      </c>
      <c r="K5" s="1" t="s">
        <v>45</v>
      </c>
      <c r="L5" s="1" t="s">
        <v>41</v>
      </c>
      <c r="M5" s="1" t="s">
        <v>42</v>
      </c>
      <c r="N5" s="1" t="s">
        <v>43</v>
      </c>
      <c r="O5" s="1" t="s">
        <v>44</v>
      </c>
    </row>
    <row r="6" spans="1:15" x14ac:dyDescent="0.3">
      <c r="A6" s="4" t="s">
        <v>50</v>
      </c>
      <c r="B6" s="8" t="s">
        <v>21</v>
      </c>
      <c r="C6" s="1">
        <v>2</v>
      </c>
      <c r="D6" s="3">
        <v>55</v>
      </c>
      <c r="E6" s="3">
        <v>84</v>
      </c>
      <c r="F6" s="3">
        <v>63</v>
      </c>
      <c r="G6" s="3">
        <v>55</v>
      </c>
      <c r="I6" s="4" t="s">
        <v>49</v>
      </c>
      <c r="J6" s="8" t="s">
        <v>20</v>
      </c>
      <c r="K6" s="1">
        <v>3</v>
      </c>
      <c r="L6" s="3">
        <v>63</v>
      </c>
      <c r="M6" s="3">
        <v>94</v>
      </c>
      <c r="N6" s="3">
        <v>89</v>
      </c>
      <c r="O6" s="3">
        <v>90</v>
      </c>
    </row>
    <row r="7" spans="1:15" x14ac:dyDescent="0.3">
      <c r="A7" s="4" t="s">
        <v>51</v>
      </c>
      <c r="B7" s="8" t="s">
        <v>22</v>
      </c>
      <c r="C7" s="1">
        <v>2</v>
      </c>
      <c r="D7" s="3">
        <v>98</v>
      </c>
      <c r="E7" s="3">
        <v>100</v>
      </c>
      <c r="F7" s="3">
        <v>95</v>
      </c>
      <c r="G7" s="3">
        <v>96</v>
      </c>
      <c r="I7" s="4" t="s">
        <v>56</v>
      </c>
      <c r="J7" s="8" t="s">
        <v>27</v>
      </c>
      <c r="K7" s="1">
        <v>3</v>
      </c>
      <c r="L7" s="3">
        <v>70</v>
      </c>
      <c r="M7" s="3">
        <v>63</v>
      </c>
      <c r="N7" s="3">
        <v>95</v>
      </c>
      <c r="O7" s="3">
        <v>63</v>
      </c>
    </row>
    <row r="8" spans="1:15" x14ac:dyDescent="0.3">
      <c r="A8" s="4" t="s">
        <v>52</v>
      </c>
      <c r="B8" s="8" t="s">
        <v>23</v>
      </c>
      <c r="C8" s="1">
        <v>1</v>
      </c>
      <c r="D8" s="3">
        <v>54</v>
      </c>
      <c r="E8" s="3">
        <v>59</v>
      </c>
      <c r="F8" s="3">
        <v>50</v>
      </c>
      <c r="G8" s="3">
        <v>54</v>
      </c>
      <c r="I8" s="4" t="s">
        <v>62</v>
      </c>
      <c r="J8" s="8" t="s">
        <v>33</v>
      </c>
      <c r="K8" s="1">
        <v>3</v>
      </c>
      <c r="L8" s="3">
        <v>43</v>
      </c>
      <c r="M8" s="3">
        <v>63</v>
      </c>
      <c r="N8" s="3">
        <v>70</v>
      </c>
      <c r="O8" s="3">
        <v>75</v>
      </c>
    </row>
    <row r="9" spans="1:15" x14ac:dyDescent="0.3">
      <c r="A9" s="4" t="s">
        <v>53</v>
      </c>
      <c r="B9" s="8" t="s">
        <v>24</v>
      </c>
      <c r="C9" s="1">
        <v>1</v>
      </c>
      <c r="D9" s="3">
        <v>95</v>
      </c>
      <c r="E9" s="3">
        <v>97</v>
      </c>
      <c r="F9" s="3">
        <v>95</v>
      </c>
      <c r="G9" s="3">
        <v>92</v>
      </c>
      <c r="I9" s="10" t="s">
        <v>68</v>
      </c>
      <c r="J9" s="8" t="s">
        <v>35</v>
      </c>
      <c r="K9" s="1">
        <v>2</v>
      </c>
      <c r="L9" s="3">
        <v>52</v>
      </c>
      <c r="M9" s="3">
        <v>72</v>
      </c>
      <c r="N9" s="3">
        <v>78</v>
      </c>
      <c r="O9" s="3">
        <v>65</v>
      </c>
    </row>
    <row r="10" spans="1:15" x14ac:dyDescent="0.3">
      <c r="A10" s="4" t="s">
        <v>54</v>
      </c>
      <c r="B10" s="8" t="s">
        <v>25</v>
      </c>
      <c r="C10" s="1">
        <v>3</v>
      </c>
      <c r="D10" s="3">
        <v>90</v>
      </c>
      <c r="E10" s="3">
        <v>69</v>
      </c>
      <c r="F10" s="3">
        <v>89</v>
      </c>
      <c r="G10" s="3">
        <v>90</v>
      </c>
    </row>
    <row r="11" spans="1:15" x14ac:dyDescent="0.3">
      <c r="A11" s="4" t="s">
        <v>55</v>
      </c>
      <c r="B11" s="8" t="s">
        <v>26</v>
      </c>
      <c r="C11" s="1">
        <v>1</v>
      </c>
      <c r="D11" s="3">
        <v>100</v>
      </c>
      <c r="E11" s="3">
        <v>24</v>
      </c>
      <c r="F11" s="3">
        <v>54</v>
      </c>
      <c r="G11" s="3">
        <v>66</v>
      </c>
    </row>
    <row r="12" spans="1:15" x14ac:dyDescent="0.3">
      <c r="A12" s="4" t="s">
        <v>56</v>
      </c>
      <c r="B12" s="8" t="s">
        <v>27</v>
      </c>
      <c r="C12" s="1">
        <v>3</v>
      </c>
      <c r="D12" s="3">
        <v>70</v>
      </c>
      <c r="E12" s="3">
        <v>63</v>
      </c>
      <c r="F12" s="3">
        <v>95</v>
      </c>
      <c r="G12" s="3">
        <v>63</v>
      </c>
    </row>
    <row r="13" spans="1:15" x14ac:dyDescent="0.3">
      <c r="A13" s="4" t="s">
        <v>57</v>
      </c>
      <c r="B13" s="8" t="s">
        <v>28</v>
      </c>
      <c r="C13" s="1">
        <v>1</v>
      </c>
      <c r="D13" s="3">
        <v>94</v>
      </c>
      <c r="E13" s="3">
        <v>75</v>
      </c>
      <c r="F13" s="3">
        <v>100</v>
      </c>
      <c r="G13" s="3">
        <v>79</v>
      </c>
    </row>
    <row r="14" spans="1:15" x14ac:dyDescent="0.3">
      <c r="A14" s="4" t="s">
        <v>58</v>
      </c>
      <c r="B14" s="8" t="s">
        <v>29</v>
      </c>
      <c r="C14" s="1">
        <v>2</v>
      </c>
      <c r="D14" s="3">
        <v>75</v>
      </c>
      <c r="E14" s="3">
        <v>86</v>
      </c>
      <c r="F14" s="3">
        <v>96</v>
      </c>
      <c r="G14" s="3">
        <v>95</v>
      </c>
    </row>
    <row r="15" spans="1:15" x14ac:dyDescent="0.3">
      <c r="A15" s="4" t="s">
        <v>59</v>
      </c>
      <c r="B15" s="8" t="s">
        <v>30</v>
      </c>
      <c r="C15" s="1">
        <v>3</v>
      </c>
      <c r="D15" s="3">
        <v>54</v>
      </c>
      <c r="E15" s="3">
        <v>51</v>
      </c>
      <c r="F15" s="3">
        <v>90</v>
      </c>
      <c r="G15" s="3">
        <v>80</v>
      </c>
      <c r="I15" s="9"/>
    </row>
    <row r="16" spans="1:15" x14ac:dyDescent="0.3">
      <c r="A16" s="4" t="s">
        <v>60</v>
      </c>
      <c r="B16" s="8" t="s">
        <v>31</v>
      </c>
      <c r="C16" s="1">
        <v>1</v>
      </c>
      <c r="D16" s="3">
        <v>90</v>
      </c>
      <c r="E16" s="3">
        <v>96</v>
      </c>
      <c r="F16" s="3">
        <v>85</v>
      </c>
      <c r="G16" s="3">
        <v>88</v>
      </c>
      <c r="I16" s="9"/>
    </row>
    <row r="17" spans="1:9" x14ac:dyDescent="0.3">
      <c r="A17" s="4" t="s">
        <v>61</v>
      </c>
      <c r="B17" s="8" t="s">
        <v>32</v>
      </c>
      <c r="C17" s="1">
        <v>2</v>
      </c>
      <c r="D17" s="3">
        <v>65</v>
      </c>
      <c r="E17" s="3">
        <v>48</v>
      </c>
      <c r="F17" s="3">
        <v>44</v>
      </c>
      <c r="G17" s="3">
        <v>60</v>
      </c>
      <c r="I17" s="9"/>
    </row>
    <row r="18" spans="1:9" x14ac:dyDescent="0.3">
      <c r="A18" s="4" t="s">
        <v>62</v>
      </c>
      <c r="B18" s="8" t="s">
        <v>33</v>
      </c>
      <c r="C18" s="1">
        <v>3</v>
      </c>
      <c r="D18" s="3">
        <v>43</v>
      </c>
      <c r="E18" s="3">
        <v>63</v>
      </c>
      <c r="F18" s="3">
        <v>70</v>
      </c>
      <c r="G18" s="3">
        <v>75</v>
      </c>
      <c r="I18" s="9"/>
    </row>
    <row r="19" spans="1:9" x14ac:dyDescent="0.3">
      <c r="A19" s="4" t="s">
        <v>63</v>
      </c>
      <c r="B19" s="8" t="s">
        <v>34</v>
      </c>
      <c r="C19" s="1">
        <v>1</v>
      </c>
      <c r="D19" s="3">
        <v>90</v>
      </c>
      <c r="E19" s="3">
        <v>82</v>
      </c>
      <c r="F19" s="3">
        <v>95</v>
      </c>
      <c r="G19" s="3">
        <v>100</v>
      </c>
      <c r="I19" s="9"/>
    </row>
    <row r="20" spans="1:9" x14ac:dyDescent="0.3">
      <c r="A20" s="10" t="s">
        <v>68</v>
      </c>
      <c r="B20" s="8" t="s">
        <v>35</v>
      </c>
      <c r="C20" s="1">
        <v>2</v>
      </c>
      <c r="D20" s="3">
        <v>52</v>
      </c>
      <c r="E20" s="3">
        <v>72</v>
      </c>
      <c r="F20" s="3">
        <v>78</v>
      </c>
      <c r="G20" s="3">
        <v>65</v>
      </c>
      <c r="I20" s="9"/>
    </row>
    <row r="21" spans="1:9" x14ac:dyDescent="0.3">
      <c r="A21" s="10" t="s">
        <v>69</v>
      </c>
      <c r="B21" s="8" t="s">
        <v>36</v>
      </c>
      <c r="C21" s="1">
        <v>3</v>
      </c>
      <c r="D21" s="3">
        <v>75</v>
      </c>
      <c r="E21" s="3">
        <v>52</v>
      </c>
      <c r="F21" s="3">
        <v>63</v>
      </c>
      <c r="G21" s="3">
        <v>69</v>
      </c>
      <c r="I21" s="9"/>
    </row>
    <row r="22" spans="1:9" x14ac:dyDescent="0.3">
      <c r="A22" s="10" t="s">
        <v>67</v>
      </c>
      <c r="B22" s="8" t="s">
        <v>37</v>
      </c>
      <c r="C22" s="1">
        <v>3</v>
      </c>
      <c r="D22" s="3">
        <v>53</v>
      </c>
      <c r="E22" s="3">
        <v>92</v>
      </c>
      <c r="F22" s="3">
        <v>49</v>
      </c>
      <c r="G22" s="3">
        <v>79</v>
      </c>
      <c r="I22" s="9"/>
    </row>
    <row r="23" spans="1:9" x14ac:dyDescent="0.3">
      <c r="A23" s="10" t="s">
        <v>66</v>
      </c>
      <c r="B23" s="8" t="s">
        <v>38</v>
      </c>
      <c r="C23" s="1">
        <v>1</v>
      </c>
      <c r="D23" s="3">
        <v>82</v>
      </c>
      <c r="E23" s="3">
        <v>77</v>
      </c>
      <c r="F23" s="3">
        <v>84</v>
      </c>
      <c r="G23" s="3">
        <v>65</v>
      </c>
      <c r="I23" s="9"/>
    </row>
    <row r="24" spans="1:9" x14ac:dyDescent="0.3">
      <c r="A24" s="10" t="s">
        <v>65</v>
      </c>
      <c r="B24" s="8" t="s">
        <v>39</v>
      </c>
      <c r="C24" s="1">
        <v>1</v>
      </c>
      <c r="D24" s="3">
        <v>51</v>
      </c>
      <c r="E24" s="3">
        <v>57</v>
      </c>
      <c r="F24" s="3">
        <v>76</v>
      </c>
      <c r="G24" s="3">
        <v>96</v>
      </c>
      <c r="I24" s="9"/>
    </row>
    <row r="25" spans="1:9" x14ac:dyDescent="0.3">
      <c r="A25" s="4" t="s">
        <v>64</v>
      </c>
      <c r="B25" s="8" t="s">
        <v>40</v>
      </c>
      <c r="C25" s="1">
        <v>2</v>
      </c>
      <c r="D25" s="3">
        <v>99</v>
      </c>
      <c r="E25" s="3">
        <v>85</v>
      </c>
      <c r="F25" s="3">
        <v>84</v>
      </c>
      <c r="G25" s="3">
        <v>76</v>
      </c>
      <c r="I25" s="9"/>
    </row>
  </sheetData>
  <phoneticPr fontId="2" type="noConversion"/>
  <conditionalFormatting sqref="A3:G25">
    <cfRule type="expression" dxfId="3" priority="1">
      <formula>AND($C3&gt;=3, AVERAGE(MAX($D3:$G3),MIN($D3:$G3))&gt;=60)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G26"/>
  <sheetViews>
    <sheetView topLeftCell="A4" workbookViewId="0">
      <selection activeCell="E32" sqref="E32"/>
    </sheetView>
  </sheetViews>
  <sheetFormatPr defaultRowHeight="16.5" x14ac:dyDescent="0.3"/>
  <cols>
    <col min="1" max="2" width="10.75" customWidth="1"/>
    <col min="3" max="6" width="11.75" customWidth="1"/>
    <col min="7" max="7" width="10.75" customWidth="1"/>
  </cols>
  <sheetData>
    <row r="1" spans="1:7" x14ac:dyDescent="0.3">
      <c r="A1" t="s">
        <v>84</v>
      </c>
    </row>
    <row r="2" spans="1:7" x14ac:dyDescent="0.3">
      <c r="A2" s="11" t="s">
        <v>2</v>
      </c>
      <c r="B2" s="11" t="s">
        <v>3</v>
      </c>
      <c r="C2" s="11" t="s">
        <v>41</v>
      </c>
      <c r="D2" s="11" t="s">
        <v>42</v>
      </c>
      <c r="E2" s="11" t="s">
        <v>43</v>
      </c>
      <c r="F2" s="11" t="s">
        <v>44</v>
      </c>
      <c r="G2" s="11" t="s">
        <v>4</v>
      </c>
    </row>
    <row r="3" spans="1:7" x14ac:dyDescent="0.3">
      <c r="A3" s="1" t="s">
        <v>70</v>
      </c>
      <c r="B3" s="1">
        <v>1</v>
      </c>
      <c r="C3" s="1">
        <v>60</v>
      </c>
      <c r="D3" s="1">
        <v>55</v>
      </c>
      <c r="E3" s="1">
        <v>80</v>
      </c>
      <c r="F3" s="1">
        <v>55</v>
      </c>
      <c r="G3" s="1">
        <f>AVERAGE(C3:F3)</f>
        <v>62.5</v>
      </c>
    </row>
    <row r="4" spans="1:7" x14ac:dyDescent="0.3">
      <c r="A4" s="1" t="s">
        <v>71</v>
      </c>
      <c r="B4" s="1">
        <v>3</v>
      </c>
      <c r="C4" s="1">
        <v>97</v>
      </c>
      <c r="D4" s="1">
        <v>97</v>
      </c>
      <c r="E4" s="1">
        <v>98</v>
      </c>
      <c r="F4" s="1">
        <v>92</v>
      </c>
      <c r="G4" s="1">
        <f t="shared" ref="G4:G16" si="0">AVERAGE(C4:F4)</f>
        <v>96</v>
      </c>
    </row>
    <row r="5" spans="1:7" x14ac:dyDescent="0.3">
      <c r="A5" s="1" t="s">
        <v>72</v>
      </c>
      <c r="B5" s="1">
        <v>2</v>
      </c>
      <c r="C5" s="1">
        <v>62</v>
      </c>
      <c r="D5" s="1">
        <v>63</v>
      </c>
      <c r="E5" s="1">
        <v>85</v>
      </c>
      <c r="F5" s="1">
        <v>58</v>
      </c>
      <c r="G5" s="1">
        <f t="shared" si="0"/>
        <v>67</v>
      </c>
    </row>
    <row r="6" spans="1:7" x14ac:dyDescent="0.3">
      <c r="A6" s="1" t="s">
        <v>73</v>
      </c>
      <c r="B6" s="1">
        <v>1</v>
      </c>
      <c r="C6" s="1">
        <v>82</v>
      </c>
      <c r="D6" s="1">
        <v>84</v>
      </c>
      <c r="E6" s="1">
        <v>97</v>
      </c>
      <c r="F6" s="1">
        <v>68</v>
      </c>
      <c r="G6" s="1">
        <f t="shared" si="0"/>
        <v>82.75</v>
      </c>
    </row>
    <row r="7" spans="1:7" x14ac:dyDescent="0.3">
      <c r="A7" s="1" t="s">
        <v>74</v>
      </c>
      <c r="B7" s="1">
        <v>2</v>
      </c>
      <c r="C7" s="1">
        <v>88</v>
      </c>
      <c r="D7" s="1">
        <v>74</v>
      </c>
      <c r="E7" s="1">
        <v>67</v>
      </c>
      <c r="F7" s="1">
        <v>56</v>
      </c>
      <c r="G7" s="1">
        <f t="shared" si="0"/>
        <v>71.25</v>
      </c>
    </row>
    <row r="8" spans="1:7" x14ac:dyDescent="0.3">
      <c r="A8" s="1" t="s">
        <v>75</v>
      </c>
      <c r="B8" s="1">
        <v>2</v>
      </c>
      <c r="C8" s="1">
        <v>98</v>
      </c>
      <c r="D8" s="1">
        <v>95</v>
      </c>
      <c r="E8" s="1">
        <v>93</v>
      </c>
      <c r="F8" s="1">
        <v>98</v>
      </c>
      <c r="G8" s="1">
        <f t="shared" si="0"/>
        <v>96</v>
      </c>
    </row>
    <row r="9" spans="1:7" x14ac:dyDescent="0.3">
      <c r="A9" s="1" t="s">
        <v>76</v>
      </c>
      <c r="B9" s="1">
        <v>3</v>
      </c>
      <c r="C9" s="1">
        <v>94</v>
      </c>
      <c r="D9" s="1">
        <v>83</v>
      </c>
      <c r="E9" s="1">
        <v>95</v>
      </c>
      <c r="F9" s="1">
        <v>90</v>
      </c>
      <c r="G9" s="1">
        <f t="shared" si="0"/>
        <v>90.5</v>
      </c>
    </row>
    <row r="10" spans="1:7" x14ac:dyDescent="0.3">
      <c r="A10" s="1" t="s">
        <v>77</v>
      </c>
      <c r="B10" s="1">
        <v>2</v>
      </c>
      <c r="C10" s="1">
        <v>85</v>
      </c>
      <c r="D10" s="1">
        <v>59</v>
      </c>
      <c r="E10" s="1">
        <v>84</v>
      </c>
      <c r="F10" s="1">
        <v>79</v>
      </c>
      <c r="G10" s="1">
        <f t="shared" si="0"/>
        <v>76.75</v>
      </c>
    </row>
    <row r="11" spans="1:7" x14ac:dyDescent="0.3">
      <c r="A11" s="1" t="s">
        <v>78</v>
      </c>
      <c r="B11" s="1">
        <v>2</v>
      </c>
      <c r="C11" s="1">
        <v>97</v>
      </c>
      <c r="D11" s="1">
        <v>95</v>
      </c>
      <c r="E11" s="1">
        <v>81</v>
      </c>
      <c r="F11" s="1">
        <v>95</v>
      </c>
      <c r="G11" s="1">
        <f t="shared" si="0"/>
        <v>92</v>
      </c>
    </row>
    <row r="12" spans="1:7" x14ac:dyDescent="0.3">
      <c r="A12" s="1" t="s">
        <v>79</v>
      </c>
      <c r="B12" s="1">
        <v>1</v>
      </c>
      <c r="C12" s="1">
        <v>88</v>
      </c>
      <c r="D12" s="1">
        <v>78</v>
      </c>
      <c r="E12" s="1">
        <v>85</v>
      </c>
      <c r="F12" s="1">
        <v>79</v>
      </c>
      <c r="G12" s="1">
        <f t="shared" si="0"/>
        <v>82.5</v>
      </c>
    </row>
    <row r="13" spans="1:7" x14ac:dyDescent="0.3">
      <c r="A13" s="1" t="s">
        <v>80</v>
      </c>
      <c r="B13" s="1">
        <v>1</v>
      </c>
      <c r="C13" s="1">
        <v>88</v>
      </c>
      <c r="D13" s="1">
        <v>77</v>
      </c>
      <c r="E13" s="1">
        <v>97</v>
      </c>
      <c r="F13" s="1">
        <v>80</v>
      </c>
      <c r="G13" s="1">
        <f t="shared" si="0"/>
        <v>85.5</v>
      </c>
    </row>
    <row r="14" spans="1:7" x14ac:dyDescent="0.3">
      <c r="A14" s="1" t="s">
        <v>81</v>
      </c>
      <c r="B14" s="1">
        <v>3</v>
      </c>
      <c r="C14" s="1">
        <v>64</v>
      </c>
      <c r="D14" s="1">
        <v>79</v>
      </c>
      <c r="E14" s="1">
        <v>75</v>
      </c>
      <c r="F14" s="1">
        <v>75</v>
      </c>
      <c r="G14" s="1">
        <f t="shared" si="0"/>
        <v>73.25</v>
      </c>
    </row>
    <row r="15" spans="1:7" x14ac:dyDescent="0.3">
      <c r="A15" s="1" t="s">
        <v>82</v>
      </c>
      <c r="B15" s="1">
        <v>2</v>
      </c>
      <c r="C15" s="1">
        <v>83</v>
      </c>
      <c r="D15" s="1">
        <v>86</v>
      </c>
      <c r="E15" s="1">
        <v>80</v>
      </c>
      <c r="F15" s="1">
        <v>77</v>
      </c>
      <c r="G15" s="1">
        <f t="shared" si="0"/>
        <v>81.5</v>
      </c>
    </row>
    <row r="16" spans="1:7" x14ac:dyDescent="0.3">
      <c r="A16" s="1" t="s">
        <v>83</v>
      </c>
      <c r="B16" s="1">
        <v>2</v>
      </c>
      <c r="C16" s="1">
        <v>94</v>
      </c>
      <c r="D16" s="1">
        <v>94</v>
      </c>
      <c r="E16" s="1">
        <v>84</v>
      </c>
      <c r="F16" s="1">
        <v>94</v>
      </c>
      <c r="G16" s="1">
        <f t="shared" si="0"/>
        <v>91.5</v>
      </c>
    </row>
    <row r="18" spans="1:7" x14ac:dyDescent="0.3">
      <c r="A18" t="s">
        <v>85</v>
      </c>
    </row>
    <row r="19" spans="1:7" x14ac:dyDescent="0.3">
      <c r="A19" s="11" t="s">
        <v>2</v>
      </c>
      <c r="B19" s="11" t="s">
        <v>3</v>
      </c>
      <c r="C19" s="11" t="s">
        <v>41</v>
      </c>
      <c r="D19" s="11" t="s">
        <v>42</v>
      </c>
      <c r="E19" s="11" t="s">
        <v>43</v>
      </c>
      <c r="F19" s="11" t="s">
        <v>44</v>
      </c>
      <c r="G19" s="11" t="s">
        <v>5</v>
      </c>
    </row>
    <row r="20" spans="1:7" x14ac:dyDescent="0.3">
      <c r="A20" s="1" t="s">
        <v>86</v>
      </c>
      <c r="B20" s="1">
        <v>1</v>
      </c>
      <c r="C20" s="1">
        <v>93</v>
      </c>
      <c r="D20" s="1">
        <v>95</v>
      </c>
      <c r="E20" s="1">
        <v>100</v>
      </c>
      <c r="F20" s="1">
        <v>92</v>
      </c>
      <c r="G20" s="1">
        <f t="shared" ref="G20:G26" si="1">AVERAGE(C20:F20)</f>
        <v>95</v>
      </c>
    </row>
    <row r="21" spans="1:7" x14ac:dyDescent="0.3">
      <c r="A21" s="1" t="s">
        <v>87</v>
      </c>
      <c r="B21" s="1">
        <v>3</v>
      </c>
      <c r="C21" s="1">
        <v>100</v>
      </c>
      <c r="D21" s="1">
        <v>86</v>
      </c>
      <c r="E21" s="1">
        <v>98</v>
      </c>
      <c r="F21" s="1">
        <v>80</v>
      </c>
      <c r="G21" s="1">
        <f t="shared" si="1"/>
        <v>91</v>
      </c>
    </row>
    <row r="22" spans="1:7" x14ac:dyDescent="0.3">
      <c r="A22" s="1" t="s">
        <v>88</v>
      </c>
      <c r="B22" s="1">
        <v>2</v>
      </c>
      <c r="C22" s="1">
        <v>60</v>
      </c>
      <c r="D22" s="1">
        <v>65</v>
      </c>
      <c r="E22" s="1">
        <v>55</v>
      </c>
      <c r="F22" s="1">
        <v>63</v>
      </c>
      <c r="G22" s="1">
        <f t="shared" si="1"/>
        <v>60.75</v>
      </c>
    </row>
    <row r="23" spans="1:7" x14ac:dyDescent="0.3">
      <c r="A23" s="1" t="s">
        <v>89</v>
      </c>
      <c r="B23" s="1">
        <v>1</v>
      </c>
      <c r="C23" s="1">
        <v>92</v>
      </c>
      <c r="D23" s="1">
        <v>85</v>
      </c>
      <c r="E23" s="1">
        <v>80</v>
      </c>
      <c r="F23" s="1">
        <v>85</v>
      </c>
      <c r="G23" s="1">
        <f t="shared" si="1"/>
        <v>85.5</v>
      </c>
    </row>
    <row r="24" spans="1:7" x14ac:dyDescent="0.3">
      <c r="A24" s="1" t="s">
        <v>90</v>
      </c>
      <c r="B24" s="1">
        <v>2</v>
      </c>
      <c r="C24" s="1">
        <v>81</v>
      </c>
      <c r="D24" s="1">
        <v>95</v>
      </c>
      <c r="E24" s="1">
        <v>100</v>
      </c>
      <c r="F24" s="1">
        <v>80</v>
      </c>
      <c r="G24" s="1">
        <f t="shared" si="1"/>
        <v>89</v>
      </c>
    </row>
    <row r="25" spans="1:7" x14ac:dyDescent="0.3">
      <c r="A25" s="1" t="s">
        <v>91</v>
      </c>
      <c r="B25" s="1">
        <v>2</v>
      </c>
      <c r="C25" s="1">
        <v>97</v>
      </c>
      <c r="D25" s="1">
        <v>90</v>
      </c>
      <c r="E25" s="1">
        <v>93</v>
      </c>
      <c r="F25" s="1">
        <v>95</v>
      </c>
      <c r="G25" s="1">
        <f t="shared" si="1"/>
        <v>93.75</v>
      </c>
    </row>
    <row r="26" spans="1:7" x14ac:dyDescent="0.3">
      <c r="A26" s="1" t="s">
        <v>92</v>
      </c>
      <c r="B26" s="1">
        <v>3</v>
      </c>
      <c r="C26" s="1">
        <v>82</v>
      </c>
      <c r="D26" s="1">
        <v>80</v>
      </c>
      <c r="E26" s="1">
        <v>85</v>
      </c>
      <c r="F26" s="1">
        <v>75</v>
      </c>
      <c r="G26" s="1">
        <f t="shared" si="1"/>
        <v>80.5</v>
      </c>
    </row>
  </sheetData>
  <phoneticPr fontId="2" type="noConversion"/>
  <printOptions headings="1"/>
  <pageMargins left="0.70866141732283472" right="0.70866141732283472" top="0.74803149606299213" bottom="0.74803149606299213" header="0.31496062992125984" footer="0.31496062992125984"/>
  <pageSetup paperSize="9" scale="97" orientation="portrait" verticalDpi="4294967293" r:id="rId1"/>
  <headerFooter>
    <oddHeader>&amp;R&amp;D&amp;T</oddHeader>
  </headerFooter>
  <ignoredErrors>
    <ignoredError sqref="G3:G16 G20:G26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36"/>
  <sheetViews>
    <sheetView workbookViewId="0"/>
  </sheetViews>
  <sheetFormatPr defaultRowHeight="16.5" x14ac:dyDescent="0.3"/>
  <cols>
    <col min="2" max="2" width="14.375" bestFit="1" customWidth="1"/>
    <col min="3" max="4" width="12.75" customWidth="1"/>
    <col min="5" max="5" width="14.375" bestFit="1" customWidth="1"/>
    <col min="6" max="10" width="12.75" customWidth="1"/>
  </cols>
  <sheetData>
    <row r="1" spans="1:10" x14ac:dyDescent="0.3">
      <c r="A1" t="s">
        <v>6</v>
      </c>
    </row>
    <row r="2" spans="1:10" x14ac:dyDescent="0.3">
      <c r="A2" s="1" t="s">
        <v>131</v>
      </c>
      <c r="B2" s="1" t="s">
        <v>113</v>
      </c>
      <c r="C2" s="1" t="s">
        <v>97</v>
      </c>
      <c r="D2" s="1" t="s">
        <v>98</v>
      </c>
      <c r="E2" s="1" t="s">
        <v>99</v>
      </c>
      <c r="F2" s="1" t="s">
        <v>100</v>
      </c>
      <c r="G2" s="1" t="s">
        <v>103</v>
      </c>
      <c r="H2" s="1" t="s">
        <v>104</v>
      </c>
      <c r="I2" s="2" t="s">
        <v>7</v>
      </c>
      <c r="J2" s="2" t="s">
        <v>136</v>
      </c>
    </row>
    <row r="3" spans="1:10" x14ac:dyDescent="0.3">
      <c r="A3" s="1" t="s">
        <v>129</v>
      </c>
      <c r="B3" s="1">
        <v>3296</v>
      </c>
      <c r="C3" s="3">
        <v>75</v>
      </c>
      <c r="D3" s="3">
        <v>79</v>
      </c>
      <c r="E3" s="3">
        <v>80</v>
      </c>
      <c r="F3" s="3">
        <v>85</v>
      </c>
      <c r="G3" s="3">
        <f>SUM(C3:F3)</f>
        <v>319</v>
      </c>
      <c r="H3" s="3"/>
      <c r="I3" s="1" t="str">
        <f>IF(AND(AVERAGE(C3:F3)&gt;=AVERAGE($C$3:$F$22),ISBLANK(H3)),"pass","fail")</f>
        <v>pass</v>
      </c>
      <c r="J3" s="1" t="str" cm="1">
        <f t="array" ref="J3">fn평가(A3,G3)</f>
        <v>B등급65</v>
      </c>
    </row>
    <row r="4" spans="1:10" x14ac:dyDescent="0.3">
      <c r="A4" s="1" t="s">
        <v>124</v>
      </c>
      <c r="B4" s="1">
        <v>7646</v>
      </c>
      <c r="C4" s="3">
        <v>50</v>
      </c>
      <c r="D4" s="3">
        <v>69</v>
      </c>
      <c r="E4" s="3">
        <v>87</v>
      </c>
      <c r="F4" s="3">
        <v>75</v>
      </c>
      <c r="G4" s="3">
        <f t="shared" ref="G4:G22" si="0">SUM(C4:F4)</f>
        <v>281</v>
      </c>
      <c r="H4" s="3">
        <v>3</v>
      </c>
      <c r="I4" s="1" t="str">
        <f t="shared" ref="I4:I22" si="1">IF(AND(AVERAGE(C4:F4)&gt;=AVERAGE($C$3:$F$22),ISBLANK(H4)),"pass","fail")</f>
        <v>fail</v>
      </c>
      <c r="J4" s="1" t="str" cm="1">
        <f t="array" ref="J4">fn평가(A4,G4)</f>
        <v>C등급50</v>
      </c>
    </row>
    <row r="5" spans="1:10" x14ac:dyDescent="0.3">
      <c r="A5" s="1" t="s">
        <v>119</v>
      </c>
      <c r="B5" s="1">
        <v>7432</v>
      </c>
      <c r="C5" s="3">
        <v>77</v>
      </c>
      <c r="D5" s="3">
        <v>74</v>
      </c>
      <c r="E5" s="3">
        <v>93</v>
      </c>
      <c r="F5" s="3">
        <v>85</v>
      </c>
      <c r="G5" s="3">
        <f t="shared" si="0"/>
        <v>329</v>
      </c>
      <c r="H5" s="3"/>
      <c r="I5" s="1" t="str">
        <f t="shared" si="1"/>
        <v>pass</v>
      </c>
      <c r="J5" s="1" t="str" cm="1">
        <f t="array" ref="J5">fn평가(A5,G5)</f>
        <v>B등급25</v>
      </c>
    </row>
    <row r="6" spans="1:10" x14ac:dyDescent="0.3">
      <c r="A6" s="1" t="s">
        <v>125</v>
      </c>
      <c r="B6" s="1">
        <v>3585</v>
      </c>
      <c r="C6" s="3">
        <v>100</v>
      </c>
      <c r="D6" s="3">
        <v>95</v>
      </c>
      <c r="E6" s="3">
        <v>100</v>
      </c>
      <c r="F6" s="3">
        <v>95</v>
      </c>
      <c r="G6" s="3">
        <f t="shared" si="0"/>
        <v>390</v>
      </c>
      <c r="H6" s="3"/>
      <c r="I6" s="1" t="str">
        <f t="shared" si="1"/>
        <v>pass</v>
      </c>
      <c r="J6" s="1" t="str" cm="1">
        <f t="array" ref="J6">fn평가(A6,G6)</f>
        <v>A등급50</v>
      </c>
    </row>
    <row r="7" spans="1:10" x14ac:dyDescent="0.3">
      <c r="A7" s="1" t="s">
        <v>130</v>
      </c>
      <c r="B7" s="1">
        <v>4955</v>
      </c>
      <c r="C7" s="3">
        <v>65</v>
      </c>
      <c r="D7" s="3">
        <v>78</v>
      </c>
      <c r="E7" s="3">
        <v>58</v>
      </c>
      <c r="F7" s="3">
        <v>50</v>
      </c>
      <c r="G7" s="3">
        <f t="shared" si="0"/>
        <v>251</v>
      </c>
      <c r="H7" s="3">
        <v>1</v>
      </c>
      <c r="I7" s="1" t="str">
        <f t="shared" si="1"/>
        <v>fail</v>
      </c>
      <c r="J7" s="1" t="str" cm="1">
        <f t="array" ref="J7">fn평가(A7,G7)</f>
        <v>C등급65</v>
      </c>
    </row>
    <row r="8" spans="1:10" x14ac:dyDescent="0.3">
      <c r="A8" s="1" t="s">
        <v>122</v>
      </c>
      <c r="B8" s="1">
        <v>5929</v>
      </c>
      <c r="C8" s="3">
        <v>93</v>
      </c>
      <c r="D8" s="3">
        <v>95</v>
      </c>
      <c r="E8" s="3">
        <v>90</v>
      </c>
      <c r="F8" s="3">
        <v>90</v>
      </c>
      <c r="G8" s="3">
        <f t="shared" si="0"/>
        <v>368</v>
      </c>
      <c r="H8" s="3"/>
      <c r="I8" s="1" t="str">
        <f t="shared" si="1"/>
        <v>pass</v>
      </c>
      <c r="J8" s="1" t="str" cm="1">
        <f t="array" ref="J8">fn평가(A8,G8)</f>
        <v>A등급33</v>
      </c>
    </row>
    <row r="9" spans="1:10" x14ac:dyDescent="0.3">
      <c r="A9" s="1" t="s">
        <v>120</v>
      </c>
      <c r="B9" s="1">
        <v>6348</v>
      </c>
      <c r="C9" s="3">
        <v>94</v>
      </c>
      <c r="D9" s="3">
        <v>71</v>
      </c>
      <c r="E9" s="3">
        <v>62</v>
      </c>
      <c r="F9" s="3">
        <v>79</v>
      </c>
      <c r="G9" s="3">
        <f t="shared" si="0"/>
        <v>306</v>
      </c>
      <c r="H9" s="3">
        <v>3</v>
      </c>
      <c r="I9" s="1" t="str">
        <f t="shared" si="1"/>
        <v>fail</v>
      </c>
      <c r="J9" s="1" t="str" cm="1">
        <f t="array" ref="J9">fn평가(A9,G9)</f>
        <v>B등급25</v>
      </c>
    </row>
    <row r="10" spans="1:10" x14ac:dyDescent="0.3">
      <c r="A10" s="1" t="s">
        <v>122</v>
      </c>
      <c r="B10" s="1">
        <v>9746</v>
      </c>
      <c r="C10" s="3">
        <v>80</v>
      </c>
      <c r="D10" s="3">
        <v>77</v>
      </c>
      <c r="E10" s="3">
        <v>62</v>
      </c>
      <c r="F10" s="3">
        <v>54</v>
      </c>
      <c r="G10" s="3">
        <f t="shared" si="0"/>
        <v>273</v>
      </c>
      <c r="H10" s="3"/>
      <c r="I10" s="1" t="str">
        <f t="shared" si="1"/>
        <v>fail</v>
      </c>
      <c r="J10" s="1" t="str" cm="1">
        <f t="array" ref="J10">fn평가(A10,G10)</f>
        <v>C등급33</v>
      </c>
    </row>
    <row r="11" spans="1:10" x14ac:dyDescent="0.3">
      <c r="A11" s="1" t="s">
        <v>121</v>
      </c>
      <c r="B11" s="1">
        <v>7979</v>
      </c>
      <c r="C11" s="3">
        <v>70</v>
      </c>
      <c r="D11" s="3">
        <v>69</v>
      </c>
      <c r="E11" s="3">
        <v>84</v>
      </c>
      <c r="F11" s="3">
        <v>90</v>
      </c>
      <c r="G11" s="3">
        <f t="shared" si="0"/>
        <v>313</v>
      </c>
      <c r="H11" s="3">
        <v>2</v>
      </c>
      <c r="I11" s="1" t="str">
        <f t="shared" si="1"/>
        <v>fail</v>
      </c>
      <c r="J11" s="1" t="str" cm="1">
        <f t="array" ref="J11">fn평가(A11,G11)</f>
        <v>B등급25</v>
      </c>
    </row>
    <row r="12" spans="1:10" x14ac:dyDescent="0.3">
      <c r="A12" s="1" t="s">
        <v>126</v>
      </c>
      <c r="B12" s="1">
        <v>9843</v>
      </c>
      <c r="C12" s="3">
        <v>82</v>
      </c>
      <c r="D12" s="3">
        <v>70</v>
      </c>
      <c r="E12" s="3">
        <v>75</v>
      </c>
      <c r="F12" s="3">
        <v>80</v>
      </c>
      <c r="G12" s="3">
        <f t="shared" si="0"/>
        <v>307</v>
      </c>
      <c r="H12" s="3"/>
      <c r="I12" s="1" t="str">
        <f t="shared" si="1"/>
        <v>fail</v>
      </c>
      <c r="J12" s="1" t="str" cm="1">
        <f t="array" ref="J12">fn평가(A12,G12)</f>
        <v>B등급48</v>
      </c>
    </row>
    <row r="13" spans="1:10" x14ac:dyDescent="0.3">
      <c r="A13" s="1" t="s">
        <v>127</v>
      </c>
      <c r="B13" s="1">
        <v>5119</v>
      </c>
      <c r="C13" s="3">
        <v>73</v>
      </c>
      <c r="D13" s="3">
        <v>95</v>
      </c>
      <c r="E13" s="3">
        <v>81</v>
      </c>
      <c r="F13" s="3">
        <v>90</v>
      </c>
      <c r="G13" s="3">
        <f t="shared" si="0"/>
        <v>339</v>
      </c>
      <c r="H13" s="3"/>
      <c r="I13" s="1" t="str">
        <f t="shared" si="1"/>
        <v>pass</v>
      </c>
      <c r="J13" s="1" t="str" cm="1">
        <f t="array" ref="J13">fn평가(A13,G13)</f>
        <v>B등급48</v>
      </c>
    </row>
    <row r="14" spans="1:10" x14ac:dyDescent="0.3">
      <c r="A14" s="1" t="s">
        <v>121</v>
      </c>
      <c r="B14" s="1">
        <v>6174</v>
      </c>
      <c r="C14" s="3">
        <v>85</v>
      </c>
      <c r="D14" s="3">
        <v>81</v>
      </c>
      <c r="E14" s="3">
        <v>84</v>
      </c>
      <c r="F14" s="3">
        <v>95</v>
      </c>
      <c r="G14" s="3">
        <f t="shared" si="0"/>
        <v>345</v>
      </c>
      <c r="H14" s="3"/>
      <c r="I14" s="1" t="str">
        <f t="shared" si="1"/>
        <v>pass</v>
      </c>
      <c r="J14" s="1" t="str" cm="1">
        <f t="array" ref="J14">fn평가(A14,G14)</f>
        <v>B등급25</v>
      </c>
    </row>
    <row r="15" spans="1:10" x14ac:dyDescent="0.3">
      <c r="A15" s="1" t="s">
        <v>130</v>
      </c>
      <c r="B15" s="1">
        <v>8064</v>
      </c>
      <c r="C15" s="3">
        <v>92</v>
      </c>
      <c r="D15" s="3">
        <v>64</v>
      </c>
      <c r="E15" s="3">
        <v>72</v>
      </c>
      <c r="F15" s="3">
        <v>50</v>
      </c>
      <c r="G15" s="3">
        <f t="shared" si="0"/>
        <v>278</v>
      </c>
      <c r="H15" s="3">
        <v>2</v>
      </c>
      <c r="I15" s="1" t="str">
        <f t="shared" si="1"/>
        <v>fail</v>
      </c>
      <c r="J15" s="1" t="str" cm="1">
        <f t="array" ref="J15">fn평가(A15,G15)</f>
        <v>C등급65</v>
      </c>
    </row>
    <row r="16" spans="1:10" x14ac:dyDescent="0.3">
      <c r="A16" s="1" t="s">
        <v>120</v>
      </c>
      <c r="B16" s="1">
        <v>7838</v>
      </c>
      <c r="C16" s="3">
        <v>77</v>
      </c>
      <c r="D16" s="3">
        <v>69</v>
      </c>
      <c r="E16" s="3">
        <v>80</v>
      </c>
      <c r="F16" s="3">
        <v>90</v>
      </c>
      <c r="G16" s="3">
        <f t="shared" si="0"/>
        <v>316</v>
      </c>
      <c r="H16" s="3"/>
      <c r="I16" s="1" t="str">
        <f t="shared" si="1"/>
        <v>pass</v>
      </c>
      <c r="J16" s="1" t="str" cm="1">
        <f t="array" ref="J16">fn평가(A16,G16)</f>
        <v>B등급25</v>
      </c>
    </row>
    <row r="17" spans="1:10" x14ac:dyDescent="0.3">
      <c r="A17" s="1" t="s">
        <v>122</v>
      </c>
      <c r="B17" s="1">
        <v>4072</v>
      </c>
      <c r="C17" s="3">
        <v>59</v>
      </c>
      <c r="D17" s="3">
        <v>69</v>
      </c>
      <c r="E17" s="3">
        <v>70</v>
      </c>
      <c r="F17" s="3">
        <v>75</v>
      </c>
      <c r="G17" s="3">
        <f t="shared" si="0"/>
        <v>273</v>
      </c>
      <c r="H17" s="3">
        <v>3</v>
      </c>
      <c r="I17" s="1" t="str">
        <f t="shared" si="1"/>
        <v>fail</v>
      </c>
      <c r="J17" s="1" t="str" cm="1">
        <f t="array" ref="J17">fn평가(A17,G17)</f>
        <v>C등급33</v>
      </c>
    </row>
    <row r="18" spans="1:10" x14ac:dyDescent="0.3">
      <c r="A18" s="1" t="s">
        <v>122</v>
      </c>
      <c r="B18" s="1">
        <v>3834</v>
      </c>
      <c r="C18" s="3">
        <v>81</v>
      </c>
      <c r="D18" s="3">
        <v>84</v>
      </c>
      <c r="E18" s="3">
        <v>65</v>
      </c>
      <c r="F18" s="3">
        <v>82</v>
      </c>
      <c r="G18" s="3">
        <f t="shared" si="0"/>
        <v>312</v>
      </c>
      <c r="H18" s="3"/>
      <c r="I18" s="1" t="str">
        <f t="shared" si="1"/>
        <v>fail</v>
      </c>
      <c r="J18" s="1" t="str" cm="1">
        <f t="array" ref="J18">fn평가(A18,G18)</f>
        <v>B등급33</v>
      </c>
    </row>
    <row r="19" spans="1:10" x14ac:dyDescent="0.3">
      <c r="A19" s="1" t="s">
        <v>126</v>
      </c>
      <c r="B19" s="1">
        <v>5416</v>
      </c>
      <c r="C19" s="3">
        <v>79</v>
      </c>
      <c r="D19" s="3">
        <v>90</v>
      </c>
      <c r="E19" s="3">
        <v>79</v>
      </c>
      <c r="F19" s="3">
        <v>95</v>
      </c>
      <c r="G19" s="3">
        <f t="shared" si="0"/>
        <v>343</v>
      </c>
      <c r="H19" s="3">
        <v>1</v>
      </c>
      <c r="I19" s="1" t="str">
        <f t="shared" si="1"/>
        <v>fail</v>
      </c>
      <c r="J19" s="1" t="str" cm="1">
        <f t="array" ref="J19">fn평가(A19,G19)</f>
        <v>B등급48</v>
      </c>
    </row>
    <row r="20" spans="1:10" x14ac:dyDescent="0.3">
      <c r="A20" s="1" t="s">
        <v>117</v>
      </c>
      <c r="B20" s="1">
        <v>4587</v>
      </c>
      <c r="C20" s="3">
        <v>61</v>
      </c>
      <c r="D20" s="3">
        <v>85</v>
      </c>
      <c r="E20" s="3">
        <v>76</v>
      </c>
      <c r="F20" s="3">
        <v>70</v>
      </c>
      <c r="G20" s="3">
        <f t="shared" si="0"/>
        <v>292</v>
      </c>
      <c r="H20" s="3">
        <v>2</v>
      </c>
      <c r="I20" s="1" t="str">
        <f t="shared" si="1"/>
        <v>fail</v>
      </c>
      <c r="J20" s="1" t="str" cm="1">
        <f t="array" ref="J20">fn평가(A20,G20)</f>
        <v>C등급60</v>
      </c>
    </row>
    <row r="21" spans="1:10" x14ac:dyDescent="0.3">
      <c r="A21" s="1" t="s">
        <v>129</v>
      </c>
      <c r="B21" s="1">
        <v>4475</v>
      </c>
      <c r="C21" s="3">
        <v>79</v>
      </c>
      <c r="D21" s="3">
        <v>60</v>
      </c>
      <c r="E21" s="3">
        <v>69</v>
      </c>
      <c r="F21" s="3">
        <v>70</v>
      </c>
      <c r="G21" s="3">
        <f t="shared" si="0"/>
        <v>278</v>
      </c>
      <c r="H21" s="3"/>
      <c r="I21" s="1" t="str">
        <f t="shared" si="1"/>
        <v>fail</v>
      </c>
      <c r="J21" s="1" t="str" cm="1">
        <f t="array" ref="J21">fn평가(A21,G21)</f>
        <v>C등급65</v>
      </c>
    </row>
    <row r="22" spans="1:10" x14ac:dyDescent="0.3">
      <c r="A22" s="1" t="s">
        <v>117</v>
      </c>
      <c r="B22" s="1">
        <v>7788</v>
      </c>
      <c r="C22" s="3">
        <v>90</v>
      </c>
      <c r="D22" s="3">
        <v>95</v>
      </c>
      <c r="E22" s="3">
        <v>95</v>
      </c>
      <c r="F22" s="3">
        <v>100</v>
      </c>
      <c r="G22" s="3">
        <f t="shared" si="0"/>
        <v>380</v>
      </c>
      <c r="H22" s="3"/>
      <c r="I22" s="1" t="str">
        <f t="shared" si="1"/>
        <v>pass</v>
      </c>
      <c r="J22" s="1" t="str" cm="1">
        <f t="array" ref="J22">fn평가(A22,G22)</f>
        <v>A등급60</v>
      </c>
    </row>
    <row r="24" spans="1:10" x14ac:dyDescent="0.3">
      <c r="A24" t="s">
        <v>8</v>
      </c>
      <c r="G24" t="s">
        <v>132</v>
      </c>
    </row>
    <row r="25" spans="1:10" x14ac:dyDescent="0.3">
      <c r="A25" s="1" t="s">
        <v>9</v>
      </c>
      <c r="B25" s="1" t="s">
        <v>10</v>
      </c>
      <c r="C25" s="2" t="s">
        <v>111</v>
      </c>
      <c r="D25" s="2" t="s">
        <v>112</v>
      </c>
      <c r="G25" s="1" t="s">
        <v>133</v>
      </c>
      <c r="H25" s="2" t="s">
        <v>134</v>
      </c>
      <c r="I25" s="2" t="s">
        <v>135</v>
      </c>
    </row>
    <row r="26" spans="1:10" x14ac:dyDescent="0.3">
      <c r="A26" s="1" t="s">
        <v>105</v>
      </c>
      <c r="B26" s="1" t="s">
        <v>108</v>
      </c>
      <c r="C26" s="1" t="str">
        <f>_xlfn.CONCAT(COUNTIFS(E$3:E$22,"&gt;=90",$A$3:$A$22,"?"&amp;$A26&amp;"*"),"명")</f>
        <v>1명</v>
      </c>
      <c r="D26" s="1" t="str">
        <f>_xlfn.CONCAT(COUNTIFS(F$3:F$22,"&gt;=90",$A$3:$A$22,"?"&amp;$A26&amp;"*"),"명")</f>
        <v>5명</v>
      </c>
      <c r="G26" s="1" t="s">
        <v>114</v>
      </c>
      <c r="H26" s="3">
        <f t="array" ref="H26">ROUND(AVERAGE(IF($A$3:$A$22=$G26,G$3:G$22)),1)</f>
        <v>321.8</v>
      </c>
      <c r="I26" s="3">
        <f t="array" ref="I26">ROUND(AVERAGE(IF($A$3:$A$22=$G26,H$3:H$22)),1)</f>
        <v>1</v>
      </c>
    </row>
    <row r="27" spans="1:10" x14ac:dyDescent="0.3">
      <c r="A27" s="1" t="s">
        <v>106</v>
      </c>
      <c r="B27" s="1" t="s">
        <v>109</v>
      </c>
      <c r="C27" s="1" t="str">
        <f t="shared" ref="C27:C28" si="2">_xlfn.CONCAT(COUNTIFS(E$3:E$22,"&gt;=90",$A$3:$A$22,"?"&amp;$A27&amp;"*"),"명")</f>
        <v>1명</v>
      </c>
      <c r="D27" s="1" t="str">
        <f t="shared" ref="D27:D28" si="3">_xlfn.CONCAT(COUNTIFS(F$3:F$22,"&gt;=90",$A$3:$A$22,"?"&amp;$A27&amp;"*"),"명")</f>
        <v>1명</v>
      </c>
      <c r="G27" s="1" t="s">
        <v>115</v>
      </c>
      <c r="H27" s="3">
        <f t="array" ref="H27">ROUND(AVERAGE(IF($A$3:$A$22=$G27,G$3:G$22)),1)</f>
        <v>306.5</v>
      </c>
      <c r="I27" s="3">
        <f t="array" ref="I27">ROUND(AVERAGE(IF($A$3:$A$22=$G27,H$3:H$22)),1)</f>
        <v>0.8</v>
      </c>
    </row>
    <row r="28" spans="1:10" x14ac:dyDescent="0.3">
      <c r="A28" s="1" t="s">
        <v>107</v>
      </c>
      <c r="B28" s="1" t="s">
        <v>110</v>
      </c>
      <c r="C28" s="1" t="str">
        <f t="shared" si="2"/>
        <v>2명</v>
      </c>
      <c r="D28" s="1" t="str">
        <f t="shared" si="3"/>
        <v>2명</v>
      </c>
      <c r="G28" s="1" t="s">
        <v>123</v>
      </c>
      <c r="H28" s="3">
        <f t="array" ref="H28">ROUND(AVERAGE(IF($A$3:$A$22=$G28,G$3:G$22)),1)</f>
        <v>335.5</v>
      </c>
      <c r="I28" s="3">
        <f t="array" ref="I28">ROUND(AVERAGE(IF($A$3:$A$22=$G28,H$3:H$22)),1)</f>
        <v>1.5</v>
      </c>
    </row>
    <row r="29" spans="1:10" x14ac:dyDescent="0.3">
      <c r="G29" s="1" t="s">
        <v>116</v>
      </c>
      <c r="H29" s="3">
        <f t="array" ref="H29">ROUND(AVERAGE(IF($A$3:$A$22=$G29,G$3:G$22)),1)</f>
        <v>329.7</v>
      </c>
      <c r="I29" s="3">
        <f t="array" ref="I29">ROUND(AVERAGE(IF($A$3:$A$22=$G29,H$3:H$22)),1)</f>
        <v>0.3</v>
      </c>
    </row>
    <row r="30" spans="1:10" x14ac:dyDescent="0.3">
      <c r="A30" t="s">
        <v>11</v>
      </c>
      <c r="G30" s="1" t="s">
        <v>128</v>
      </c>
      <c r="H30" s="3">
        <f t="array" ref="H30">ROUND(AVERAGE(IF($A$3:$A$22=$G30,G$3:G$22)),1)</f>
        <v>281.5</v>
      </c>
      <c r="I30" s="3">
        <f t="array" ref="I30">ROUND(AVERAGE(IF($A$3:$A$22=$G30,H$3:H$22)),1)</f>
        <v>0.8</v>
      </c>
    </row>
    <row r="31" spans="1:10" x14ac:dyDescent="0.3">
      <c r="A31" s="1" t="s">
        <v>12</v>
      </c>
      <c r="B31" s="2" t="s">
        <v>101</v>
      </c>
      <c r="C31" s="2" t="s">
        <v>102</v>
      </c>
      <c r="D31" s="2" t="s">
        <v>99</v>
      </c>
      <c r="E31" s="2" t="s">
        <v>100</v>
      </c>
      <c r="G31" s="1" t="s">
        <v>118</v>
      </c>
      <c r="H31" s="3">
        <f t="array" ref="H31">ROUND(AVERAGE(IF($A$3:$A$22=$G31,G$3:G$22)),1)</f>
        <v>336</v>
      </c>
      <c r="I31" s="3">
        <f t="array" ref="I31">ROUND(AVERAGE(IF($A$3:$A$22=$G31,H$3:H$22)),1)</f>
        <v>1</v>
      </c>
    </row>
    <row r="32" spans="1:10" x14ac:dyDescent="0.3">
      <c r="A32" s="1">
        <v>60</v>
      </c>
      <c r="B32" s="3" t="str">
        <f t="array" ref="B32:B36">REPT("○",FREQUENCY(C3:C22,$A$32:$A$36))</f>
        <v>○○</v>
      </c>
      <c r="C32" s="3" t="str">
        <f t="array" ref="C32:C36">REPT("○",FREQUENCY(D3:D22,$A$32:$A$36))</f>
        <v>○</v>
      </c>
      <c r="D32" s="3" t="str">
        <f t="array" ref="D32:D36">REPT("○",FREQUENCY(E3:E22,$A$32:$A$36))</f>
        <v>○</v>
      </c>
      <c r="E32" s="3" t="str">
        <f t="array" ref="E32:E36">REPT("○",FREQUENCY(F3:F22,$A$32:$A$36))</f>
        <v>○○○</v>
      </c>
    </row>
    <row r="33" spans="1:5" x14ac:dyDescent="0.3">
      <c r="A33" s="1">
        <v>70</v>
      </c>
      <c r="B33" s="3" t="str">
        <v>○○○</v>
      </c>
      <c r="C33" s="3" t="str">
        <v>○○○○○○</v>
      </c>
      <c r="D33" s="3" t="str">
        <v>○○○○○</v>
      </c>
      <c r="E33" s="3" t="str">
        <v>○○</v>
      </c>
    </row>
    <row r="34" spans="1:5" x14ac:dyDescent="0.3">
      <c r="A34" s="1">
        <v>80</v>
      </c>
      <c r="B34" s="3" t="str">
        <v>○○○○○○○</v>
      </c>
      <c r="C34" s="3" t="str">
        <v>○○○○○</v>
      </c>
      <c r="D34" s="3" t="str">
        <v>○○○○○○</v>
      </c>
      <c r="E34" s="3" t="str">
        <v>○○○○</v>
      </c>
    </row>
    <row r="35" spans="1:5" x14ac:dyDescent="0.3">
      <c r="A35" s="1">
        <v>90</v>
      </c>
      <c r="B35" s="3" t="str">
        <v>○○○○</v>
      </c>
      <c r="C35" s="3" t="str">
        <v>○○○○</v>
      </c>
      <c r="D35" s="3" t="str">
        <v>○○○○○</v>
      </c>
      <c r="E35" s="3" t="str">
        <v>○○○○○○○</v>
      </c>
    </row>
    <row r="36" spans="1:5" x14ac:dyDescent="0.3">
      <c r="A36" s="1">
        <v>100</v>
      </c>
      <c r="B36" s="3" t="str">
        <v>○○○○</v>
      </c>
      <c r="C36" s="3" t="str">
        <v>○○○○</v>
      </c>
      <c r="D36" s="3" t="str">
        <v>○○○</v>
      </c>
      <c r="E36" s="3" t="str">
        <v>○○○○</v>
      </c>
    </row>
  </sheetData>
  <phoneticPr fontId="2" type="noConversion"/>
  <pageMargins left="0.7" right="0.7" top="0.75" bottom="0.75" header="0.3" footer="0.3"/>
  <pageSetup paperSize="9" orientation="portrait" verticalDpi="4294967293" r:id="rId1"/>
  <ignoredErrors>
    <ignoredError sqref="G3:G22 I3:I2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C8"/>
  <sheetViews>
    <sheetView workbookViewId="0">
      <selection activeCell="F13" sqref="F13"/>
    </sheetView>
  </sheetViews>
  <sheetFormatPr defaultRowHeight="16.5" x14ac:dyDescent="0.3"/>
  <cols>
    <col min="1" max="1" width="23.875" customWidth="1"/>
    <col min="2" max="2" width="11.125" customWidth="1"/>
    <col min="3" max="3" width="19.375" customWidth="1"/>
    <col min="4" max="4" width="19.375" bestFit="1" customWidth="1"/>
  </cols>
  <sheetData>
    <row r="2" spans="1:3" x14ac:dyDescent="0.3">
      <c r="A2" s="17" t="s">
        <v>157</v>
      </c>
      <c r="B2" t="s">
        <v>150</v>
      </c>
      <c r="C2" t="s">
        <v>151</v>
      </c>
    </row>
    <row r="3" spans="1:3" x14ac:dyDescent="0.3">
      <c r="A3" t="s">
        <v>152</v>
      </c>
      <c r="B3">
        <v>4</v>
      </c>
      <c r="C3" s="18">
        <v>81.25</v>
      </c>
    </row>
    <row r="4" spans="1:3" x14ac:dyDescent="0.3">
      <c r="A4" t="s">
        <v>153</v>
      </c>
      <c r="B4">
        <v>6</v>
      </c>
      <c r="C4" s="18">
        <v>62.833333333333336</v>
      </c>
    </row>
    <row r="5" spans="1:3" x14ac:dyDescent="0.3">
      <c r="A5" t="s">
        <v>154</v>
      </c>
      <c r="B5">
        <v>3</v>
      </c>
      <c r="C5" s="18">
        <v>77.666666666666671</v>
      </c>
    </row>
    <row r="6" spans="1:3" x14ac:dyDescent="0.3">
      <c r="A6" t="s">
        <v>155</v>
      </c>
      <c r="B6">
        <v>6</v>
      </c>
      <c r="C6" s="18">
        <v>81.166666666666671</v>
      </c>
    </row>
    <row r="7" spans="1:3" x14ac:dyDescent="0.3">
      <c r="A7" t="s">
        <v>156</v>
      </c>
      <c r="B7">
        <v>4</v>
      </c>
      <c r="C7" s="18">
        <v>61.25</v>
      </c>
    </row>
    <row r="8" spans="1:3" x14ac:dyDescent="0.3">
      <c r="A8" t="s">
        <v>149</v>
      </c>
      <c r="B8">
        <v>23</v>
      </c>
      <c r="C8" s="18">
        <v>72.478260869565219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A2:G25"/>
  <sheetViews>
    <sheetView workbookViewId="0">
      <selection activeCell="K34" sqref="K34"/>
    </sheetView>
  </sheetViews>
  <sheetFormatPr defaultRowHeight="16.5" x14ac:dyDescent="0.3"/>
  <cols>
    <col min="4" max="4" width="11" bestFit="1" customWidth="1"/>
    <col min="5" max="7" width="13" bestFit="1" customWidth="1"/>
  </cols>
  <sheetData>
    <row r="2" spans="1:7" x14ac:dyDescent="0.3">
      <c r="A2" t="s">
        <v>0</v>
      </c>
    </row>
    <row r="4" spans="1:7" x14ac:dyDescent="0.3">
      <c r="A4" s="1" t="s">
        <v>46</v>
      </c>
      <c r="B4" s="1" t="s">
        <v>1</v>
      </c>
      <c r="C4" s="1" t="s">
        <v>137</v>
      </c>
      <c r="D4" s="1" t="s">
        <v>41</v>
      </c>
      <c r="E4" s="1" t="s">
        <v>42</v>
      </c>
      <c r="F4" s="1" t="s">
        <v>43</v>
      </c>
      <c r="G4" s="1" t="s">
        <v>44</v>
      </c>
    </row>
    <row r="5" spans="1:7" hidden="1" x14ac:dyDescent="0.3">
      <c r="A5" s="4" t="s">
        <v>47</v>
      </c>
      <c r="B5" s="8" t="s">
        <v>18</v>
      </c>
      <c r="C5" s="12">
        <v>43974</v>
      </c>
      <c r="D5" s="3">
        <v>86</v>
      </c>
      <c r="E5" s="3">
        <v>45</v>
      </c>
      <c r="F5" s="3">
        <v>75</v>
      </c>
      <c r="G5" s="3">
        <v>70</v>
      </c>
    </row>
    <row r="6" spans="1:7" hidden="1" x14ac:dyDescent="0.3">
      <c r="A6" s="4" t="s">
        <v>48</v>
      </c>
      <c r="B6" s="8" t="s">
        <v>19</v>
      </c>
      <c r="C6" s="12">
        <v>43976</v>
      </c>
      <c r="D6" s="3">
        <v>98</v>
      </c>
      <c r="E6" s="3">
        <v>96</v>
      </c>
      <c r="F6" s="3">
        <v>86</v>
      </c>
      <c r="G6" s="3">
        <v>89</v>
      </c>
    </row>
    <row r="7" spans="1:7" x14ac:dyDescent="0.3">
      <c r="A7" s="4" t="s">
        <v>49</v>
      </c>
      <c r="B7" s="8" t="s">
        <v>20</v>
      </c>
      <c r="C7" s="12" t="s">
        <v>95</v>
      </c>
      <c r="D7" s="3">
        <v>63</v>
      </c>
      <c r="E7" s="3">
        <v>94</v>
      </c>
      <c r="F7" s="3">
        <v>89</v>
      </c>
      <c r="G7" s="3">
        <v>90</v>
      </c>
    </row>
    <row r="8" spans="1:7" hidden="1" x14ac:dyDescent="0.3">
      <c r="A8" s="4" t="s">
        <v>50</v>
      </c>
      <c r="B8" s="8" t="s">
        <v>162</v>
      </c>
      <c r="C8" s="12" t="s">
        <v>93</v>
      </c>
      <c r="D8" s="3">
        <v>55</v>
      </c>
      <c r="E8" s="3">
        <v>84</v>
      </c>
      <c r="F8" s="3">
        <v>63</v>
      </c>
      <c r="G8" s="3">
        <v>55</v>
      </c>
    </row>
    <row r="9" spans="1:7" hidden="1" x14ac:dyDescent="0.3">
      <c r="A9" s="4" t="s">
        <v>52</v>
      </c>
      <c r="B9" s="8" t="s">
        <v>23</v>
      </c>
      <c r="C9" s="12">
        <v>43932</v>
      </c>
      <c r="D9" s="3">
        <v>54</v>
      </c>
      <c r="E9" s="3">
        <v>59</v>
      </c>
      <c r="F9" s="3">
        <v>50</v>
      </c>
      <c r="G9" s="3">
        <v>54</v>
      </c>
    </row>
    <row r="10" spans="1:7" x14ac:dyDescent="0.3">
      <c r="A10" s="4" t="s">
        <v>53</v>
      </c>
      <c r="B10" s="8" t="s">
        <v>24</v>
      </c>
      <c r="C10" s="12">
        <v>43936</v>
      </c>
      <c r="D10" s="3">
        <v>95</v>
      </c>
      <c r="E10" s="3">
        <v>97</v>
      </c>
      <c r="F10" s="3">
        <v>95</v>
      </c>
      <c r="G10" s="3">
        <v>92</v>
      </c>
    </row>
    <row r="11" spans="1:7" x14ac:dyDescent="0.3">
      <c r="A11" s="4" t="s">
        <v>54</v>
      </c>
      <c r="B11" s="8" t="s">
        <v>25</v>
      </c>
      <c r="C11" s="12">
        <v>43936</v>
      </c>
      <c r="D11" s="3">
        <v>90</v>
      </c>
      <c r="E11" s="3">
        <v>69</v>
      </c>
      <c r="F11" s="3">
        <v>89</v>
      </c>
      <c r="G11" s="3">
        <v>90</v>
      </c>
    </row>
    <row r="12" spans="1:7" hidden="1" x14ac:dyDescent="0.3">
      <c r="A12" s="4" t="s">
        <v>55</v>
      </c>
      <c r="B12" s="8" t="s">
        <v>26</v>
      </c>
      <c r="C12" s="12">
        <v>43942</v>
      </c>
      <c r="D12" s="3">
        <v>100</v>
      </c>
      <c r="E12" s="3">
        <v>24</v>
      </c>
      <c r="F12" s="3">
        <v>54</v>
      </c>
      <c r="G12" s="3">
        <v>66</v>
      </c>
    </row>
    <row r="13" spans="1:7" hidden="1" x14ac:dyDescent="0.3">
      <c r="A13" s="4" t="s">
        <v>56</v>
      </c>
      <c r="B13" s="8" t="s">
        <v>27</v>
      </c>
      <c r="C13" s="12">
        <v>43958</v>
      </c>
      <c r="D13" s="3">
        <v>70</v>
      </c>
      <c r="E13" s="3">
        <v>63</v>
      </c>
      <c r="F13" s="3">
        <v>95</v>
      </c>
      <c r="G13" s="3">
        <v>63</v>
      </c>
    </row>
    <row r="14" spans="1:7" hidden="1" x14ac:dyDescent="0.3">
      <c r="A14" s="4" t="s">
        <v>57</v>
      </c>
      <c r="B14" s="8" t="s">
        <v>28</v>
      </c>
      <c r="C14" s="12">
        <v>43989</v>
      </c>
      <c r="D14" s="3">
        <v>94</v>
      </c>
      <c r="E14" s="3">
        <v>75</v>
      </c>
      <c r="F14" s="3">
        <v>100</v>
      </c>
      <c r="G14" s="3">
        <v>79</v>
      </c>
    </row>
    <row r="15" spans="1:7" hidden="1" x14ac:dyDescent="0.3">
      <c r="A15" s="4" t="s">
        <v>58</v>
      </c>
      <c r="B15" s="8" t="s">
        <v>29</v>
      </c>
      <c r="C15" s="12">
        <v>43987</v>
      </c>
      <c r="D15" s="3">
        <v>75</v>
      </c>
      <c r="E15" s="3">
        <v>86</v>
      </c>
      <c r="F15" s="3">
        <v>96</v>
      </c>
      <c r="G15" s="3">
        <v>95</v>
      </c>
    </row>
    <row r="16" spans="1:7" x14ac:dyDescent="0.3">
      <c r="A16" s="4" t="s">
        <v>59</v>
      </c>
      <c r="B16" s="8" t="s">
        <v>163</v>
      </c>
      <c r="C16" s="12" t="s">
        <v>95</v>
      </c>
      <c r="D16" s="3">
        <v>54</v>
      </c>
      <c r="E16" s="3">
        <v>51</v>
      </c>
      <c r="F16" s="3">
        <v>90</v>
      </c>
      <c r="G16" s="3">
        <v>80</v>
      </c>
    </row>
    <row r="17" spans="1:7" x14ac:dyDescent="0.3">
      <c r="A17" s="4" t="s">
        <v>60</v>
      </c>
      <c r="B17" s="8" t="s">
        <v>31</v>
      </c>
      <c r="C17" s="12">
        <v>43993</v>
      </c>
      <c r="D17" s="3">
        <v>90</v>
      </c>
      <c r="E17" s="3">
        <v>96</v>
      </c>
      <c r="F17" s="3">
        <v>85</v>
      </c>
      <c r="G17" s="3">
        <v>88</v>
      </c>
    </row>
    <row r="18" spans="1:7" hidden="1" x14ac:dyDescent="0.3">
      <c r="A18" s="4" t="s">
        <v>62</v>
      </c>
      <c r="B18" s="8" t="s">
        <v>33</v>
      </c>
      <c r="C18" s="12">
        <v>44002</v>
      </c>
      <c r="D18" s="3">
        <v>43</v>
      </c>
      <c r="E18" s="3">
        <v>63</v>
      </c>
      <c r="F18" s="3">
        <v>70</v>
      </c>
      <c r="G18" s="3">
        <v>75</v>
      </c>
    </row>
    <row r="19" spans="1:7" x14ac:dyDescent="0.3">
      <c r="A19" s="4" t="s">
        <v>63</v>
      </c>
      <c r="B19" s="8" t="s">
        <v>34</v>
      </c>
      <c r="C19" s="12">
        <v>43959</v>
      </c>
      <c r="D19" s="3">
        <v>90</v>
      </c>
      <c r="E19" s="3">
        <v>82</v>
      </c>
      <c r="F19" s="3">
        <v>95</v>
      </c>
      <c r="G19" s="3">
        <v>100</v>
      </c>
    </row>
    <row r="20" spans="1:7" x14ac:dyDescent="0.3">
      <c r="A20" s="10" t="s">
        <v>68</v>
      </c>
      <c r="B20" s="8" t="s">
        <v>35</v>
      </c>
      <c r="C20" s="12">
        <v>43959</v>
      </c>
      <c r="D20" s="3">
        <v>52</v>
      </c>
      <c r="E20" s="3">
        <v>72</v>
      </c>
      <c r="F20" s="3">
        <v>78</v>
      </c>
      <c r="G20" s="3">
        <v>65</v>
      </c>
    </row>
    <row r="21" spans="1:7" hidden="1" x14ac:dyDescent="0.3">
      <c r="A21" s="10" t="s">
        <v>69</v>
      </c>
      <c r="B21" s="8" t="s">
        <v>36</v>
      </c>
      <c r="C21" s="12">
        <v>43961</v>
      </c>
      <c r="D21" s="3">
        <v>75</v>
      </c>
      <c r="E21" s="3">
        <v>52</v>
      </c>
      <c r="F21" s="3">
        <v>63</v>
      </c>
      <c r="G21" s="3">
        <v>69</v>
      </c>
    </row>
    <row r="22" spans="1:7" x14ac:dyDescent="0.3">
      <c r="A22" s="10" t="s">
        <v>67</v>
      </c>
      <c r="B22" s="8" t="s">
        <v>164</v>
      </c>
      <c r="C22" s="12" t="s">
        <v>95</v>
      </c>
      <c r="D22" s="3">
        <v>53</v>
      </c>
      <c r="E22" s="3">
        <v>92</v>
      </c>
      <c r="F22" s="3">
        <v>49</v>
      </c>
      <c r="G22" s="3">
        <v>79</v>
      </c>
    </row>
    <row r="23" spans="1:7" hidden="1" x14ac:dyDescent="0.3">
      <c r="A23" s="10" t="s">
        <v>66</v>
      </c>
      <c r="B23" s="8" t="s">
        <v>38</v>
      </c>
      <c r="C23" s="12">
        <v>44004</v>
      </c>
      <c r="D23" s="3">
        <v>82</v>
      </c>
      <c r="E23" s="3">
        <v>77</v>
      </c>
      <c r="F23" s="3">
        <v>84</v>
      </c>
      <c r="G23" s="3">
        <v>65</v>
      </c>
    </row>
    <row r="24" spans="1:7" hidden="1" x14ac:dyDescent="0.3">
      <c r="A24" s="10" t="s">
        <v>65</v>
      </c>
      <c r="B24" s="8" t="s">
        <v>39</v>
      </c>
      <c r="C24" s="12">
        <v>44013</v>
      </c>
      <c r="D24" s="3">
        <v>51</v>
      </c>
      <c r="E24" s="3">
        <v>57</v>
      </c>
      <c r="F24" s="3">
        <v>76</v>
      </c>
      <c r="G24" s="3">
        <v>96</v>
      </c>
    </row>
    <row r="25" spans="1:7" x14ac:dyDescent="0.3">
      <c r="A25" s="4" t="s">
        <v>64</v>
      </c>
      <c r="B25" s="8" t="s">
        <v>40</v>
      </c>
      <c r="C25" s="12">
        <v>43993</v>
      </c>
      <c r="D25" s="3">
        <v>99</v>
      </c>
      <c r="E25" s="3">
        <v>85</v>
      </c>
      <c r="F25" s="3">
        <v>84</v>
      </c>
      <c r="G25" s="3">
        <v>76</v>
      </c>
    </row>
  </sheetData>
  <autoFilter ref="A4:G25" xr:uid="{00000000-0001-0000-0400-000000000000}">
    <filterColumn colId="2">
      <colorFilter dxfId="0"/>
    </filterColumn>
  </autoFilter>
  <phoneticPr fontId="2" type="noConversion"/>
  <conditionalFormatting sqref="C5:C25">
    <cfRule type="duplicateValues" dxfId="2" priority="1"/>
  </conditionalFormatting>
  <pageMargins left="0.7" right="0.7" top="0.75" bottom="0.75" header="0.3" footer="0.3"/>
  <pageSetup paperSize="9"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F6"/>
  <sheetViews>
    <sheetView topLeftCell="A4" workbookViewId="0">
      <selection activeCell="M18" sqref="M18"/>
    </sheetView>
  </sheetViews>
  <sheetFormatPr defaultRowHeight="16.5" x14ac:dyDescent="0.3"/>
  <cols>
    <col min="1" max="1" width="3.375" customWidth="1"/>
    <col min="2" max="2" width="10.25" customWidth="1"/>
    <col min="3" max="3" width="13" bestFit="1" customWidth="1"/>
    <col min="4" max="4" width="12.125" customWidth="1"/>
    <col min="5" max="5" width="11.5" customWidth="1"/>
    <col min="6" max="6" width="15.125" bestFit="1" customWidth="1"/>
    <col min="7" max="7" width="7.875" customWidth="1"/>
  </cols>
  <sheetData>
    <row r="2" spans="2:6" x14ac:dyDescent="0.3">
      <c r="B2" s="4" t="s">
        <v>13</v>
      </c>
      <c r="C2" s="1" t="s">
        <v>41</v>
      </c>
      <c r="D2" s="1" t="s">
        <v>42</v>
      </c>
      <c r="E2" s="1" t="s">
        <v>43</v>
      </c>
      <c r="F2" s="1" t="s">
        <v>44</v>
      </c>
    </row>
    <row r="3" spans="2:6" x14ac:dyDescent="0.3">
      <c r="B3" s="5" t="s">
        <v>93</v>
      </c>
      <c r="C3" s="1">
        <v>100</v>
      </c>
      <c r="D3" s="1">
        <v>95</v>
      </c>
      <c r="E3" s="1">
        <v>98</v>
      </c>
      <c r="F3" s="1">
        <v>100</v>
      </c>
    </row>
    <row r="4" spans="2:6" x14ac:dyDescent="0.3">
      <c r="B4" s="5" t="s">
        <v>94</v>
      </c>
      <c r="C4" s="1">
        <v>85</v>
      </c>
      <c r="D4" s="1">
        <v>80</v>
      </c>
      <c r="E4" s="1">
        <v>75</v>
      </c>
      <c r="F4" s="1">
        <v>72</v>
      </c>
    </row>
    <row r="5" spans="2:6" x14ac:dyDescent="0.3">
      <c r="B5" s="5" t="s">
        <v>95</v>
      </c>
      <c r="C5" s="1">
        <v>65</v>
      </c>
      <c r="D5" s="1">
        <v>75</v>
      </c>
      <c r="E5" s="1">
        <v>66</v>
      </c>
      <c r="F5" s="1">
        <v>80</v>
      </c>
    </row>
    <row r="6" spans="2:6" x14ac:dyDescent="0.3">
      <c r="B6" s="5" t="s">
        <v>96</v>
      </c>
      <c r="C6" s="1">
        <v>97</v>
      </c>
      <c r="D6" s="1">
        <v>95</v>
      </c>
      <c r="E6" s="1">
        <v>85</v>
      </c>
      <c r="F6" s="1">
        <v>99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4:G32"/>
  <sheetViews>
    <sheetView zoomScale="90" zoomScaleNormal="90" workbookViewId="0">
      <selection activeCell="A4" sqref="A4"/>
    </sheetView>
  </sheetViews>
  <sheetFormatPr defaultRowHeight="16.5" outlineLevelRow="2" x14ac:dyDescent="0.3"/>
  <cols>
    <col min="3" max="3" width="11.125" bestFit="1" customWidth="1"/>
    <col min="4" max="7" width="11.75" customWidth="1"/>
  </cols>
  <sheetData>
    <row r="4" spans="1:7" x14ac:dyDescent="0.3">
      <c r="A4" s="1" t="s">
        <v>46</v>
      </c>
      <c r="B4" s="1" t="s">
        <v>1</v>
      </c>
      <c r="C4" s="1" t="s">
        <v>137</v>
      </c>
      <c r="D4" s="1" t="s">
        <v>41</v>
      </c>
      <c r="E4" s="1" t="s">
        <v>42</v>
      </c>
      <c r="F4" s="1" t="s">
        <v>43</v>
      </c>
      <c r="G4" s="1" t="s">
        <v>44</v>
      </c>
    </row>
    <row r="5" spans="1:7" outlineLevel="2" x14ac:dyDescent="0.3">
      <c r="A5" s="4" t="s">
        <v>51</v>
      </c>
      <c r="B5" s="8" t="s">
        <v>22</v>
      </c>
      <c r="C5" s="12">
        <v>43922</v>
      </c>
      <c r="D5" s="3">
        <v>98</v>
      </c>
      <c r="E5" s="3">
        <v>100</v>
      </c>
      <c r="F5" s="3">
        <v>95</v>
      </c>
      <c r="G5" s="3">
        <v>96</v>
      </c>
    </row>
    <row r="6" spans="1:7" outlineLevel="2" x14ac:dyDescent="0.3">
      <c r="A6" s="4" t="s">
        <v>52</v>
      </c>
      <c r="B6" s="8" t="s">
        <v>23</v>
      </c>
      <c r="C6" s="12">
        <v>43932</v>
      </c>
      <c r="D6" s="3">
        <v>54</v>
      </c>
      <c r="E6" s="3">
        <v>59</v>
      </c>
      <c r="F6" s="3">
        <v>50</v>
      </c>
      <c r="G6" s="3">
        <v>54</v>
      </c>
    </row>
    <row r="7" spans="1:7" outlineLevel="2" x14ac:dyDescent="0.3">
      <c r="A7" s="4" t="s">
        <v>53</v>
      </c>
      <c r="B7" s="8" t="s">
        <v>24</v>
      </c>
      <c r="C7" s="12">
        <v>43936</v>
      </c>
      <c r="D7" s="3">
        <v>95</v>
      </c>
      <c r="E7" s="3">
        <v>97</v>
      </c>
      <c r="F7" s="3">
        <v>95</v>
      </c>
      <c r="G7" s="3">
        <v>92</v>
      </c>
    </row>
    <row r="8" spans="1:7" outlineLevel="2" x14ac:dyDescent="0.3">
      <c r="A8" s="4" t="s">
        <v>54</v>
      </c>
      <c r="B8" s="8" t="s">
        <v>25</v>
      </c>
      <c r="C8" s="12">
        <v>43936</v>
      </c>
      <c r="D8" s="3">
        <v>90</v>
      </c>
      <c r="E8" s="3">
        <v>69</v>
      </c>
      <c r="F8" s="3">
        <v>89</v>
      </c>
      <c r="G8" s="3">
        <v>90</v>
      </c>
    </row>
    <row r="9" spans="1:7" outlineLevel="2" x14ac:dyDescent="0.3">
      <c r="A9" s="4" t="s">
        <v>55</v>
      </c>
      <c r="B9" s="8" t="s">
        <v>26</v>
      </c>
      <c r="C9" s="12">
        <v>43942</v>
      </c>
      <c r="D9" s="3">
        <v>100</v>
      </c>
      <c r="E9" s="3">
        <v>24</v>
      </c>
      <c r="F9" s="3">
        <v>54</v>
      </c>
      <c r="G9" s="3">
        <v>66</v>
      </c>
    </row>
    <row r="10" spans="1:7" outlineLevel="2" x14ac:dyDescent="0.3">
      <c r="A10" s="4" t="s">
        <v>50</v>
      </c>
      <c r="B10" s="8" t="s">
        <v>21</v>
      </c>
      <c r="C10" s="12">
        <v>43944</v>
      </c>
      <c r="D10" s="3">
        <v>55</v>
      </c>
      <c r="E10" s="3">
        <v>84</v>
      </c>
      <c r="F10" s="3">
        <v>63</v>
      </c>
      <c r="G10" s="3">
        <v>55</v>
      </c>
    </row>
    <row r="11" spans="1:7" outlineLevel="1" x14ac:dyDescent="0.3">
      <c r="A11" s="4"/>
      <c r="B11" s="8"/>
      <c r="C11" s="19" t="s">
        <v>165</v>
      </c>
      <c r="D11" s="3">
        <f>SUBTOTAL(9,D5:D10)</f>
        <v>492</v>
      </c>
      <c r="E11" s="3">
        <f>SUBTOTAL(9,E5:E10)</f>
        <v>433</v>
      </c>
      <c r="F11" s="3">
        <f>SUBTOTAL(9,F5:F10)</f>
        <v>446</v>
      </c>
      <c r="G11" s="3">
        <f>SUBTOTAL(9,G5:G10)</f>
        <v>453</v>
      </c>
    </row>
    <row r="12" spans="1:7" outlineLevel="2" x14ac:dyDescent="0.3">
      <c r="A12" s="4" t="s">
        <v>56</v>
      </c>
      <c r="B12" s="8" t="s">
        <v>27</v>
      </c>
      <c r="C12" s="12">
        <v>43958</v>
      </c>
      <c r="D12" s="3">
        <v>70</v>
      </c>
      <c r="E12" s="3">
        <v>63</v>
      </c>
      <c r="F12" s="3">
        <v>95</v>
      </c>
      <c r="G12" s="3">
        <v>63</v>
      </c>
    </row>
    <row r="13" spans="1:7" outlineLevel="2" x14ac:dyDescent="0.3">
      <c r="A13" s="4" t="s">
        <v>63</v>
      </c>
      <c r="B13" s="8" t="s">
        <v>34</v>
      </c>
      <c r="C13" s="12">
        <v>43959</v>
      </c>
      <c r="D13" s="3">
        <v>90</v>
      </c>
      <c r="E13" s="3">
        <v>82</v>
      </c>
      <c r="F13" s="3">
        <v>95</v>
      </c>
      <c r="G13" s="3">
        <v>100</v>
      </c>
    </row>
    <row r="14" spans="1:7" outlineLevel="2" x14ac:dyDescent="0.3">
      <c r="A14" s="10" t="s">
        <v>68</v>
      </c>
      <c r="B14" s="8" t="s">
        <v>35</v>
      </c>
      <c r="C14" s="12">
        <v>43959</v>
      </c>
      <c r="D14" s="3">
        <v>52</v>
      </c>
      <c r="E14" s="3">
        <v>72</v>
      </c>
      <c r="F14" s="3">
        <v>78</v>
      </c>
      <c r="G14" s="3">
        <v>65</v>
      </c>
    </row>
    <row r="15" spans="1:7" outlineLevel="2" x14ac:dyDescent="0.3">
      <c r="A15" s="10" t="s">
        <v>69</v>
      </c>
      <c r="B15" s="8" t="s">
        <v>36</v>
      </c>
      <c r="C15" s="12">
        <v>43961</v>
      </c>
      <c r="D15" s="3">
        <v>75</v>
      </c>
      <c r="E15" s="3">
        <v>52</v>
      </c>
      <c r="F15" s="3">
        <v>63</v>
      </c>
      <c r="G15" s="3">
        <v>69</v>
      </c>
    </row>
    <row r="16" spans="1:7" outlineLevel="2" x14ac:dyDescent="0.3">
      <c r="A16" s="10" t="s">
        <v>67</v>
      </c>
      <c r="B16" s="8" t="s">
        <v>37</v>
      </c>
      <c r="C16" s="12">
        <v>43972</v>
      </c>
      <c r="D16" s="3">
        <v>53</v>
      </c>
      <c r="E16" s="3">
        <v>92</v>
      </c>
      <c r="F16" s="3">
        <v>49</v>
      </c>
      <c r="G16" s="3">
        <v>79</v>
      </c>
    </row>
    <row r="17" spans="1:7" outlineLevel="2" x14ac:dyDescent="0.3">
      <c r="A17" s="4" t="s">
        <v>47</v>
      </c>
      <c r="B17" s="8" t="s">
        <v>18</v>
      </c>
      <c r="C17" s="12">
        <v>43974</v>
      </c>
      <c r="D17" s="3">
        <v>86</v>
      </c>
      <c r="E17" s="3">
        <v>45</v>
      </c>
      <c r="F17" s="3">
        <v>75</v>
      </c>
      <c r="G17" s="3">
        <v>70</v>
      </c>
    </row>
    <row r="18" spans="1:7" outlineLevel="2" x14ac:dyDescent="0.3">
      <c r="A18" s="4" t="s">
        <v>48</v>
      </c>
      <c r="B18" s="8" t="s">
        <v>19</v>
      </c>
      <c r="C18" s="12">
        <v>43976</v>
      </c>
      <c r="D18" s="3">
        <v>98</v>
      </c>
      <c r="E18" s="3">
        <v>96</v>
      </c>
      <c r="F18" s="3">
        <v>86</v>
      </c>
      <c r="G18" s="3">
        <v>89</v>
      </c>
    </row>
    <row r="19" spans="1:7" outlineLevel="1" x14ac:dyDescent="0.3">
      <c r="A19" s="4"/>
      <c r="B19" s="8"/>
      <c r="C19" s="19" t="s">
        <v>166</v>
      </c>
      <c r="D19" s="3">
        <f>SUBTOTAL(9,D12:D18)</f>
        <v>524</v>
      </c>
      <c r="E19" s="3">
        <f>SUBTOTAL(9,E12:E18)</f>
        <v>502</v>
      </c>
      <c r="F19" s="3">
        <f>SUBTOTAL(9,F12:F18)</f>
        <v>541</v>
      </c>
      <c r="G19" s="3">
        <f>SUBTOTAL(9,G12:G18)</f>
        <v>535</v>
      </c>
    </row>
    <row r="20" spans="1:7" outlineLevel="2" x14ac:dyDescent="0.3">
      <c r="A20" s="4" t="s">
        <v>49</v>
      </c>
      <c r="B20" s="8" t="s">
        <v>20</v>
      </c>
      <c r="C20" s="12">
        <v>43985</v>
      </c>
      <c r="D20" s="3">
        <v>63</v>
      </c>
      <c r="E20" s="3">
        <v>94</v>
      </c>
      <c r="F20" s="3">
        <v>89</v>
      </c>
      <c r="G20" s="3">
        <v>90</v>
      </c>
    </row>
    <row r="21" spans="1:7" outlineLevel="2" x14ac:dyDescent="0.3">
      <c r="A21" s="4" t="s">
        <v>58</v>
      </c>
      <c r="B21" s="8" t="s">
        <v>29</v>
      </c>
      <c r="C21" s="12">
        <v>43987</v>
      </c>
      <c r="D21" s="3">
        <v>75</v>
      </c>
      <c r="E21" s="3">
        <v>86</v>
      </c>
      <c r="F21" s="3">
        <v>96</v>
      </c>
      <c r="G21" s="3">
        <v>95</v>
      </c>
    </row>
    <row r="22" spans="1:7" outlineLevel="2" x14ac:dyDescent="0.3">
      <c r="A22" s="4" t="s">
        <v>57</v>
      </c>
      <c r="B22" s="8" t="s">
        <v>28</v>
      </c>
      <c r="C22" s="12">
        <v>43989</v>
      </c>
      <c r="D22" s="3">
        <v>94</v>
      </c>
      <c r="E22" s="3">
        <v>75</v>
      </c>
      <c r="F22" s="3">
        <v>100</v>
      </c>
      <c r="G22" s="3">
        <v>79</v>
      </c>
    </row>
    <row r="23" spans="1:7" outlineLevel="2" x14ac:dyDescent="0.3">
      <c r="A23" s="4" t="s">
        <v>59</v>
      </c>
      <c r="B23" s="8" t="s">
        <v>30</v>
      </c>
      <c r="C23" s="12">
        <v>43991</v>
      </c>
      <c r="D23" s="3">
        <v>54</v>
      </c>
      <c r="E23" s="3">
        <v>51</v>
      </c>
      <c r="F23" s="3">
        <v>90</v>
      </c>
      <c r="G23" s="3">
        <v>80</v>
      </c>
    </row>
    <row r="24" spans="1:7" outlineLevel="2" x14ac:dyDescent="0.3">
      <c r="A24" s="4" t="s">
        <v>60</v>
      </c>
      <c r="B24" s="8" t="s">
        <v>31</v>
      </c>
      <c r="C24" s="12">
        <v>43993</v>
      </c>
      <c r="D24" s="3">
        <v>90</v>
      </c>
      <c r="E24" s="3">
        <v>96</v>
      </c>
      <c r="F24" s="3">
        <v>85</v>
      </c>
      <c r="G24" s="3">
        <v>88</v>
      </c>
    </row>
    <row r="25" spans="1:7" outlineLevel="2" x14ac:dyDescent="0.3">
      <c r="A25" s="4" t="s">
        <v>64</v>
      </c>
      <c r="B25" s="8" t="s">
        <v>40</v>
      </c>
      <c r="C25" s="12">
        <v>43993</v>
      </c>
      <c r="D25" s="3">
        <v>99</v>
      </c>
      <c r="E25" s="3">
        <v>85</v>
      </c>
      <c r="F25" s="3">
        <v>84</v>
      </c>
      <c r="G25" s="3">
        <v>76</v>
      </c>
    </row>
    <row r="26" spans="1:7" outlineLevel="2" x14ac:dyDescent="0.3">
      <c r="A26" s="4" t="s">
        <v>62</v>
      </c>
      <c r="B26" s="8" t="s">
        <v>33</v>
      </c>
      <c r="C26" s="12">
        <v>44002</v>
      </c>
      <c r="D26" s="3">
        <v>43</v>
      </c>
      <c r="E26" s="3">
        <v>63</v>
      </c>
      <c r="F26" s="3">
        <v>70</v>
      </c>
      <c r="G26" s="3">
        <v>75</v>
      </c>
    </row>
    <row r="27" spans="1:7" outlineLevel="2" x14ac:dyDescent="0.3">
      <c r="A27" s="4" t="s">
        <v>61</v>
      </c>
      <c r="B27" s="8" t="s">
        <v>32</v>
      </c>
      <c r="C27" s="12">
        <v>44003</v>
      </c>
      <c r="D27" s="3">
        <v>65</v>
      </c>
      <c r="E27" s="3">
        <v>48</v>
      </c>
      <c r="F27" s="3">
        <v>44</v>
      </c>
      <c r="G27" s="3">
        <v>60</v>
      </c>
    </row>
    <row r="28" spans="1:7" outlineLevel="2" x14ac:dyDescent="0.3">
      <c r="A28" s="10" t="s">
        <v>66</v>
      </c>
      <c r="B28" s="8" t="s">
        <v>38</v>
      </c>
      <c r="C28" s="12">
        <v>44004</v>
      </c>
      <c r="D28" s="3">
        <v>82</v>
      </c>
      <c r="E28" s="3">
        <v>77</v>
      </c>
      <c r="F28" s="3">
        <v>84</v>
      </c>
      <c r="G28" s="3">
        <v>65</v>
      </c>
    </row>
    <row r="29" spans="1:7" outlineLevel="1" x14ac:dyDescent="0.3">
      <c r="A29" s="10"/>
      <c r="B29" s="8"/>
      <c r="C29" s="19" t="s">
        <v>167</v>
      </c>
      <c r="D29" s="3">
        <f>SUBTOTAL(9,D20:D28)</f>
        <v>665</v>
      </c>
      <c r="E29" s="3">
        <f>SUBTOTAL(9,E20:E28)</f>
        <v>675</v>
      </c>
      <c r="F29" s="3">
        <f>SUBTOTAL(9,F20:F28)</f>
        <v>742</v>
      </c>
      <c r="G29" s="3">
        <f>SUBTOTAL(9,G20:G28)</f>
        <v>708</v>
      </c>
    </row>
    <row r="30" spans="1:7" outlineLevel="2" x14ac:dyDescent="0.3">
      <c r="A30" s="10" t="s">
        <v>65</v>
      </c>
      <c r="B30" s="8" t="s">
        <v>39</v>
      </c>
      <c r="C30" s="12">
        <v>44013</v>
      </c>
      <c r="D30" s="3">
        <v>51</v>
      </c>
      <c r="E30" s="3">
        <v>57</v>
      </c>
      <c r="F30" s="3">
        <v>76</v>
      </c>
      <c r="G30" s="3">
        <v>96</v>
      </c>
    </row>
    <row r="31" spans="1:7" outlineLevel="1" x14ac:dyDescent="0.3">
      <c r="A31" s="20"/>
      <c r="B31" s="21"/>
      <c r="C31" s="22" t="s">
        <v>168</v>
      </c>
      <c r="D31">
        <f>SUBTOTAL(9,D30:D30)</f>
        <v>51</v>
      </c>
      <c r="E31">
        <f>SUBTOTAL(9,E30:E30)</f>
        <v>57</v>
      </c>
      <c r="F31">
        <f>SUBTOTAL(9,F30:F30)</f>
        <v>76</v>
      </c>
      <c r="G31">
        <f>SUBTOTAL(9,G30:G30)</f>
        <v>96</v>
      </c>
    </row>
    <row r="32" spans="1:7" x14ac:dyDescent="0.3">
      <c r="A32" s="20"/>
      <c r="B32" s="21"/>
      <c r="C32" s="22" t="s">
        <v>149</v>
      </c>
      <c r="D32">
        <f>SUBTOTAL(9,D5:D30)</f>
        <v>1732</v>
      </c>
      <c r="E32">
        <f>SUBTOTAL(9,E5:E30)</f>
        <v>1667</v>
      </c>
      <c r="F32">
        <f>SUBTOTAL(9,F5:F30)</f>
        <v>1805</v>
      </c>
      <c r="G32">
        <f>SUBTOTAL(9,G5:G30)</f>
        <v>1792</v>
      </c>
    </row>
  </sheetData>
  <sortState xmlns:xlrd2="http://schemas.microsoft.com/office/spreadsheetml/2017/richdata2" ref="A5:G27">
    <sortCondition ref="C4"/>
  </sortState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J16"/>
  <sheetViews>
    <sheetView workbookViewId="0">
      <selection activeCell="J22" sqref="J22"/>
    </sheetView>
  </sheetViews>
  <sheetFormatPr defaultColWidth="9" defaultRowHeight="16.5" x14ac:dyDescent="0.3"/>
  <cols>
    <col min="1" max="1" width="4.375" style="6" customWidth="1"/>
    <col min="2" max="2" width="9" style="6"/>
    <col min="3" max="3" width="12.125" style="7" bestFit="1" customWidth="1"/>
    <col min="4" max="16384" width="9" style="6"/>
  </cols>
  <sheetData>
    <row r="1" spans="2:10" x14ac:dyDescent="0.3">
      <c r="C1" s="6"/>
    </row>
    <row r="2" spans="2:10" x14ac:dyDescent="0.3">
      <c r="C2" s="6"/>
    </row>
    <row r="3" spans="2:10" x14ac:dyDescent="0.3">
      <c r="B3" s="6" t="s">
        <v>14</v>
      </c>
      <c r="C3" s="6"/>
      <c r="J3" s="6" t="s">
        <v>15</v>
      </c>
    </row>
    <row r="4" spans="2:10" x14ac:dyDescent="0.3">
      <c r="B4" s="1" t="s">
        <v>138</v>
      </c>
      <c r="C4" s="1" t="s">
        <v>144</v>
      </c>
      <c r="D4" s="1" t="s">
        <v>16</v>
      </c>
      <c r="E4" s="1" t="s">
        <v>145</v>
      </c>
      <c r="F4" s="1" t="s">
        <v>146</v>
      </c>
      <c r="G4" s="1" t="s">
        <v>147</v>
      </c>
      <c r="H4" s="1" t="s">
        <v>17</v>
      </c>
      <c r="J4" s="13" t="s">
        <v>139</v>
      </c>
    </row>
    <row r="5" spans="2:10" x14ac:dyDescent="0.3">
      <c r="B5" s="15" t="s">
        <v>158</v>
      </c>
      <c r="C5" s="14">
        <v>0.53800925925925924</v>
      </c>
      <c r="D5" s="1" t="s">
        <v>159</v>
      </c>
      <c r="E5" s="1" t="s">
        <v>160</v>
      </c>
      <c r="F5" s="1">
        <v>5000</v>
      </c>
      <c r="G5" s="1">
        <v>4500</v>
      </c>
      <c r="H5" s="1" t="s">
        <v>161</v>
      </c>
      <c r="J5" s="1" t="s">
        <v>140</v>
      </c>
    </row>
    <row r="6" spans="2:10" x14ac:dyDescent="0.3">
      <c r="B6" s="1"/>
      <c r="C6" s="14"/>
      <c r="D6" s="1"/>
      <c r="E6" s="1"/>
      <c r="F6" s="1"/>
      <c r="G6" s="1"/>
      <c r="H6" s="1"/>
      <c r="J6" s="1" t="s">
        <v>141</v>
      </c>
    </row>
    <row r="7" spans="2:10" x14ac:dyDescent="0.3">
      <c r="B7" s="1"/>
      <c r="C7" s="14"/>
      <c r="D7" s="1"/>
      <c r="E7" s="1"/>
      <c r="F7" s="1"/>
      <c r="G7" s="1"/>
      <c r="H7" s="1"/>
      <c r="J7" s="1" t="s">
        <v>142</v>
      </c>
    </row>
    <row r="8" spans="2:10" x14ac:dyDescent="0.3">
      <c r="B8" s="1"/>
      <c r="C8" s="14"/>
      <c r="D8" s="1"/>
      <c r="E8" s="1"/>
      <c r="F8" s="1"/>
      <c r="G8" s="1"/>
      <c r="H8" s="1"/>
      <c r="J8" s="1" t="s">
        <v>143</v>
      </c>
    </row>
    <row r="9" spans="2:10" x14ac:dyDescent="0.3">
      <c r="B9" s="1"/>
      <c r="C9" s="14"/>
      <c r="D9" s="1"/>
      <c r="E9" s="1"/>
      <c r="F9" s="1"/>
      <c r="G9" s="1"/>
      <c r="H9" s="1"/>
    </row>
    <row r="10" spans="2:10" x14ac:dyDescent="0.3">
      <c r="B10" s="1"/>
      <c r="C10" s="14"/>
      <c r="D10" s="1"/>
      <c r="E10" s="1"/>
      <c r="F10" s="1"/>
      <c r="G10" s="1"/>
      <c r="H10" s="1"/>
    </row>
    <row r="11" spans="2:10" x14ac:dyDescent="0.3">
      <c r="B11" s="1"/>
      <c r="C11" s="14"/>
      <c r="D11" s="1"/>
      <c r="E11" s="1"/>
      <c r="F11" s="1"/>
      <c r="G11" s="1"/>
      <c r="H11" s="1"/>
    </row>
    <row r="12" spans="2:10" x14ac:dyDescent="0.3">
      <c r="B12" s="1"/>
      <c r="C12" s="14"/>
      <c r="D12" s="1"/>
      <c r="E12" s="1"/>
      <c r="F12" s="1"/>
      <c r="G12" s="1"/>
      <c r="H12" s="1"/>
    </row>
    <row r="13" spans="2:10" x14ac:dyDescent="0.3">
      <c r="B13" s="1"/>
      <c r="C13" s="14"/>
      <c r="D13" s="1"/>
      <c r="E13" s="1"/>
      <c r="F13" s="1"/>
      <c r="G13" s="1"/>
      <c r="H13" s="1"/>
    </row>
    <row r="14" spans="2:10" x14ac:dyDescent="0.3">
      <c r="B14" s="1"/>
      <c r="C14" s="14"/>
      <c r="D14" s="1"/>
      <c r="E14" s="1"/>
      <c r="F14" s="1"/>
      <c r="G14" s="1"/>
      <c r="H14" s="1"/>
    </row>
    <row r="15" spans="2:10" x14ac:dyDescent="0.3">
      <c r="B15" s="1"/>
      <c r="C15" s="14"/>
      <c r="D15" s="1"/>
      <c r="E15" s="1"/>
      <c r="F15" s="1"/>
      <c r="G15" s="1"/>
      <c r="H15" s="1"/>
    </row>
    <row r="16" spans="2:10" x14ac:dyDescent="0.3">
      <c r="B16" s="1"/>
      <c r="C16" s="14"/>
      <c r="D16" s="1"/>
      <c r="E16" s="1"/>
      <c r="F16" s="1"/>
      <c r="G16" s="1"/>
      <c r="H16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판매현황">
          <controlPr defaultSize="0" autoLine="0" autoPict="0" r:id="rId4">
            <anchor moveWithCells="1">
              <from>
                <xdr:col>5</xdr:col>
                <xdr:colOff>676275</xdr:colOff>
                <xdr:row>0</xdr:row>
                <xdr:rowOff>123825</xdr:rowOff>
              </from>
              <to>
                <xdr:col>8</xdr:col>
                <xdr:colOff>28575</xdr:colOff>
                <xdr:row>2</xdr:row>
                <xdr:rowOff>47625</xdr:rowOff>
              </to>
            </anchor>
          </controlPr>
        </control>
      </mc:Choice>
      <mc:Fallback>
        <control shapeId="2049" r:id="rId3" name="cmd판매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김진원</cp:lastModifiedBy>
  <dcterms:created xsi:type="dcterms:W3CDTF">2020-04-07T11:53:02Z</dcterms:created>
  <dcterms:modified xsi:type="dcterms:W3CDTF">2023-11-06T04:26:12Z</dcterms:modified>
</cp:coreProperties>
</file>