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o404\Downloads\2024_컴활1급\엑셀\완성파일\최신유형기출\"/>
    </mc:Choice>
  </mc:AlternateContent>
  <xr:revisionPtr revIDLastSave="0" documentId="13_ncr:1_{02A4C219-7B21-40E8-B292-73A3D6DD5B5B}" xr6:coauthVersionLast="47" xr6:coauthVersionMax="47" xr10:uidLastSave="{00000000-0000-0000-0000-000000000000}"/>
  <bookViews>
    <workbookView xWindow="1500" yWindow="510" windowWidth="23325" windowHeight="14685" tabRatio="718" activeTab="5" xr2:uid="{00000000-000D-0000-FFFF-FFFF00000000}"/>
  </bookViews>
  <sheets>
    <sheet name="기본작업-1" sheetId="30" r:id="rId1"/>
    <sheet name="기본작업-2" sheetId="1" r:id="rId2"/>
    <sheet name="계산작업" sheetId="26" r:id="rId3"/>
    <sheet name="변액보험" sheetId="32" r:id="rId4"/>
    <sheet name="분석작업-1" sheetId="7" r:id="rId5"/>
    <sheet name="분석작업-2" sheetId="33" r:id="rId6"/>
    <sheet name="기타작업-1" sheetId="12" r:id="rId7"/>
    <sheet name="기타작업-2" sheetId="34" r:id="rId8"/>
    <sheet name="기타작업-3" sheetId="11" r:id="rId9"/>
  </sheets>
  <functionGroups builtInGroupCount="19"/>
  <definedNames>
    <definedName name="_xlnm._FilterDatabase" localSheetId="1" hidden="1">'기본작업-2'!$A$1:$G$15</definedName>
    <definedName name="_xlnm._FilterDatabase" localSheetId="5" hidden="1">'분석작업-2'!$A$3:$D$17</definedName>
    <definedName name="_xlnm.Criteria" localSheetId="1">'기본작업-2'!#REF!</definedName>
    <definedName name="_xlnm.Extract" localSheetId="1">'기본작업-2'!#REF!</definedName>
    <definedName name="_xlnm.Print_Area" localSheetId="1">'기본작업-2'!$A$1:$G$15</definedName>
  </definedNames>
  <calcPr calcId="191029"/>
  <pivotCaches>
    <pivotCache cacheId="0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26" l="1"/>
  <c r="G6" i="26"/>
  <c r="G7" i="26"/>
  <c r="G8" i="26"/>
  <c r="G9" i="26"/>
  <c r="G10" i="26"/>
  <c r="G11" i="26"/>
  <c r="G12" i="26"/>
  <c r="G13" i="26"/>
  <c r="G14" i="26"/>
  <c r="G15" i="26"/>
  <c r="G16" i="26"/>
  <c r="G17" i="26"/>
  <c r="G18" i="26"/>
  <c r="G19" i="26"/>
  <c r="G20" i="26"/>
  <c r="G21" i="26"/>
  <c r="G22" i="26"/>
  <c r="G23" i="26"/>
  <c r="G24" i="26"/>
  <c r="G25" i="26"/>
  <c r="G26" i="26"/>
  <c r="G27" i="26"/>
  <c r="G28" i="26"/>
  <c r="G29" i="26"/>
  <c r="G4" i="26"/>
  <c r="C4" i="34"/>
  <c r="B7" i="34" s="1"/>
  <c r="H8" i="26" a="1"/>
  <c r="H22" i="26" a="1"/>
  <c r="H26" i="26" a="1"/>
  <c r="H7" i="26" a="1"/>
  <c r="H11" i="26" a="1"/>
  <c r="H15" i="26" a="1"/>
  <c r="H19" i="26" a="1"/>
  <c r="H23" i="26" a="1"/>
  <c r="H27" i="26" a="1"/>
  <c r="H6" i="26" a="1"/>
  <c r="H10" i="26" a="1"/>
  <c r="H12" i="26" a="1"/>
  <c r="H14" i="26" a="1"/>
  <c r="H16" i="26" a="1"/>
  <c r="H18" i="26" a="1"/>
  <c r="H20" i="26" a="1"/>
  <c r="H24" i="26" a="1"/>
  <c r="H28" i="26" a="1"/>
  <c r="H5" i="26" a="1"/>
  <c r="H9" i="26" a="1"/>
  <c r="H13" i="26" a="1"/>
  <c r="H17" i="26" a="1"/>
  <c r="H21" i="26" a="1"/>
  <c r="H25" i="26" a="1"/>
  <c r="H29" i="26" a="1"/>
  <c r="H4" i="26" a="1"/>
  <c r="H29" i="26" l="1"/>
  <c r="H25" i="26"/>
  <c r="H21" i="26"/>
  <c r="H17" i="26"/>
  <c r="H13" i="26"/>
  <c r="H9" i="26"/>
  <c r="H5" i="26"/>
  <c r="H28" i="26"/>
  <c r="H24" i="26"/>
  <c r="H20" i="26"/>
  <c r="H18" i="26"/>
  <c r="H16" i="26"/>
  <c r="H14" i="26"/>
  <c r="H12" i="26"/>
  <c r="H10" i="26"/>
  <c r="H6" i="26"/>
  <c r="H27" i="26"/>
  <c r="H23" i="26"/>
  <c r="H19" i="26"/>
  <c r="H15" i="26"/>
  <c r="H11" i="26"/>
  <c r="H7" i="26"/>
  <c r="H26" i="26"/>
  <c r="H22" i="26"/>
  <c r="H8" i="26"/>
  <c r="H4" i="26"/>
  <c r="A18" i="30"/>
  <c r="B5" i="26" l="1"/>
  <c r="B6" i="26"/>
  <c r="B7" i="26"/>
  <c r="B8" i="26"/>
  <c r="B9" i="26"/>
  <c r="B10" i="26"/>
  <c r="B11" i="26"/>
  <c r="B12" i="26"/>
  <c r="B13" i="26"/>
  <c r="B14" i="26"/>
  <c r="B15" i="26"/>
  <c r="B16" i="26"/>
  <c r="B17" i="26"/>
  <c r="B18" i="26"/>
  <c r="B19" i="26"/>
  <c r="B20" i="26"/>
  <c r="B21" i="26"/>
  <c r="B22" i="26"/>
  <c r="B23" i="26"/>
  <c r="B24" i="26"/>
  <c r="B25" i="26"/>
  <c r="B26" i="26"/>
  <c r="B27" i="26"/>
  <c r="B28" i="26"/>
  <c r="B29" i="26"/>
  <c r="B4" i="26"/>
  <c r="K17" i="26" a="1"/>
  <c r="K17" i="26" s="1"/>
  <c r="K18" i="26" a="1"/>
  <c r="K18" i="26" s="1"/>
  <c r="K19" i="26" a="1"/>
  <c r="K19" i="26" s="1"/>
  <c r="K20" i="26" a="1"/>
  <c r="K20" i="26" s="1"/>
  <c r="K10" i="26" l="1" a="1"/>
  <c r="K10" i="26" s="1"/>
  <c r="K11" i="26" a="1"/>
  <c r="K11" i="26" s="1"/>
  <c r="K12" i="26" a="1"/>
  <c r="K12" i="26" s="1"/>
  <c r="K13" i="26" a="1"/>
  <c r="K13" i="26" s="1"/>
  <c r="K9" i="26" a="1"/>
  <c r="K9" i="2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" type="1" refreshedVersion="6">
    <dbPr connection="DSN=MS Access Database;DBQ=C:\OA\보험가입.accdb;DefaultDir=C:\OA;DriverId=25;FIL=MS Access;MaxBufferSize=2048;PageTimeout=5;" command="SELECT 가입자명단.가입자명, 가입자명단.주민등록번호, 가입자명단.가입년월일, 가입자명단.보험코드, 가입자명단.보험종류, 가입자명단.가입지점명, 가입자명단.월불입액, 가입자명단.보장액_x000d__x000a_FROM `C:\OA\보험가입.accdb`.가입자명단 가입자명단"/>
  </connection>
  <connection id="2" xr16:uid="{00000000-0015-0000-FFFF-FFFF01000000}" name="MS Access Database_Query1" type="1" refreshedVersion="6">
    <dbPr connection="DSN=MS Access Database;DBQ=C:\2021_컴활1급\엑셀\작업파일\최신유형기출\보험가입.accdb;DefaultDir=C:\2021_컴활1급\엑셀\작업파일\최신유형기출;DriverId=25;FIL=MS Access;MaxBufferSize=2048;PageTimeout=5;" command="SELECT 가입자명단.가입자명, 가입자명단.주민등록번호, 가입자명단.가입년월일, 가입자명단.보험코드, 가입자명단.보험종류, 가입자명단.가입지점명, 가입자명단.월불입액, 가입자명단.보장액_x000d__x000a_FROM `C:\2021_컴활1급\엑셀\작업파일\최신유형기출\보험가입.accdb`.가입자명단 가입자명단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<sst xmlns="http://schemas.openxmlformats.org/spreadsheetml/2006/main" count="373" uniqueCount="139">
  <si>
    <t>성명</t>
    <phoneticPr fontId="2" type="noConversion"/>
  </si>
  <si>
    <t>지점명</t>
    <phoneticPr fontId="2" type="noConversion"/>
  </si>
  <si>
    <t>할인액</t>
    <phoneticPr fontId="2" type="noConversion"/>
  </si>
  <si>
    <t>H001</t>
  </si>
  <si>
    <t>J001</t>
  </si>
  <si>
    <t>호남</t>
    <phoneticPr fontId="2" type="noConversion"/>
  </si>
  <si>
    <t>강원</t>
    <phoneticPr fontId="2" type="noConversion"/>
  </si>
  <si>
    <t>서울</t>
    <phoneticPr fontId="2" type="noConversion"/>
  </si>
  <si>
    <t>충청</t>
    <phoneticPr fontId="2" type="noConversion"/>
  </si>
  <si>
    <t>영남</t>
    <phoneticPr fontId="2" type="noConversion"/>
  </si>
  <si>
    <t>V001</t>
  </si>
  <si>
    <t>건강보험</t>
    <phoneticPr fontId="2" type="noConversion"/>
  </si>
  <si>
    <t>가입자명</t>
  </si>
  <si>
    <t>주민등록번호</t>
  </si>
  <si>
    <t>가입년월일</t>
  </si>
  <si>
    <t>보험종류</t>
  </si>
  <si>
    <t>월불입액</t>
  </si>
  <si>
    <t>보장액</t>
  </si>
  <si>
    <t>변액보험</t>
  </si>
  <si>
    <t>호남</t>
  </si>
  <si>
    <t>연금보험</t>
  </si>
  <si>
    <t>건강보험</t>
  </si>
  <si>
    <t>충청</t>
  </si>
  <si>
    <t>영남</t>
  </si>
  <si>
    <t>서울</t>
  </si>
  <si>
    <t>강원</t>
  </si>
  <si>
    <t>보험종류</t>
    <phoneticPr fontId="2" type="noConversion"/>
  </si>
  <si>
    <t>월불입액</t>
    <phoneticPr fontId="2" type="noConversion"/>
  </si>
  <si>
    <t>연금보험</t>
    <phoneticPr fontId="2" type="noConversion"/>
  </si>
  <si>
    <t>보험종류별 보험 판매 실적</t>
    <phoneticPr fontId="2" type="noConversion"/>
  </si>
  <si>
    <t>서울</t>
    <phoneticPr fontId="2" type="noConversion"/>
  </si>
  <si>
    <t>충청</t>
    <phoneticPr fontId="2" type="noConversion"/>
  </si>
  <si>
    <t>강원</t>
    <phoneticPr fontId="2" type="noConversion"/>
  </si>
  <si>
    <t>영남</t>
    <phoneticPr fontId="2" type="noConversion"/>
  </si>
  <si>
    <t>호남</t>
    <phoneticPr fontId="2" type="noConversion"/>
  </si>
  <si>
    <t>변액보험</t>
    <phoneticPr fontId="2" type="noConversion"/>
  </si>
  <si>
    <t>상해보험</t>
    <phoneticPr fontId="2" type="noConversion"/>
  </si>
  <si>
    <t>저축성보험</t>
    <phoneticPr fontId="2" type="noConversion"/>
  </si>
  <si>
    <t>[표1]</t>
    <phoneticPr fontId="2" type="noConversion"/>
  </si>
  <si>
    <t>저축보험</t>
    <phoneticPr fontId="2" type="noConversion"/>
  </si>
  <si>
    <t>가입지점</t>
    <phoneticPr fontId="2" type="noConversion"/>
  </si>
  <si>
    <t>보험코드</t>
    <phoneticPr fontId="2" type="noConversion"/>
  </si>
  <si>
    <t>S001</t>
    <phoneticPr fontId="2" type="noConversion"/>
  </si>
  <si>
    <t>Y001</t>
    <phoneticPr fontId="2" type="noConversion"/>
  </si>
  <si>
    <t>납부총액</t>
    <phoneticPr fontId="2" type="noConversion"/>
  </si>
  <si>
    <t>이자총액</t>
    <phoneticPr fontId="2" type="noConversion"/>
  </si>
  <si>
    <t>월납입액</t>
    <phoneticPr fontId="2" type="noConversion"/>
  </si>
  <si>
    <t>월납부액</t>
    <phoneticPr fontId="2" type="noConversion"/>
  </si>
  <si>
    <t>건강저축보험</t>
    <phoneticPr fontId="2" type="noConversion"/>
  </si>
  <si>
    <t>주택저축보험</t>
    <phoneticPr fontId="2" type="noConversion"/>
  </si>
  <si>
    <t>목돈마련보험</t>
    <phoneticPr fontId="2" type="noConversion"/>
  </si>
  <si>
    <t>연금저축보험</t>
    <phoneticPr fontId="2" type="noConversion"/>
  </si>
  <si>
    <t>무지개저축보험</t>
    <phoneticPr fontId="2" type="noConversion"/>
  </si>
  <si>
    <t>3년만기 저축성보험</t>
    <phoneticPr fontId="2" type="noConversion"/>
  </si>
  <si>
    <t>[참조표]</t>
    <phoneticPr fontId="2" type="noConversion"/>
  </si>
  <si>
    <t>(목표금액 : 3천만원)</t>
    <phoneticPr fontId="2" type="noConversion"/>
  </si>
  <si>
    <t>월불입액평균</t>
    <phoneticPr fontId="2" type="noConversion"/>
  </si>
  <si>
    <t>보험구분</t>
    <phoneticPr fontId="2" type="noConversion"/>
  </si>
  <si>
    <t>[표2]</t>
    <phoneticPr fontId="2" type="noConversion"/>
  </si>
  <si>
    <t>[표4]</t>
    <phoneticPr fontId="2" type="noConversion"/>
  </si>
  <si>
    <t>641202-2******</t>
    <phoneticPr fontId="2" type="noConversion"/>
  </si>
  <si>
    <t>730225-1******</t>
    <phoneticPr fontId="2" type="noConversion"/>
  </si>
  <si>
    <t>701206-1******</t>
    <phoneticPr fontId="2" type="noConversion"/>
  </si>
  <si>
    <t>880308-2******</t>
    <phoneticPr fontId="2" type="noConversion"/>
  </si>
  <si>
    <t>880508-1******</t>
    <phoneticPr fontId="2" type="noConversion"/>
  </si>
  <si>
    <t>771120-1******</t>
    <phoneticPr fontId="2" type="noConversion"/>
  </si>
  <si>
    <t>840121-1******</t>
    <phoneticPr fontId="2" type="noConversion"/>
  </si>
  <si>
    <t>440508-1******</t>
    <phoneticPr fontId="2" type="noConversion"/>
  </si>
  <si>
    <t>801026-1******</t>
    <phoneticPr fontId="2" type="noConversion"/>
  </si>
  <si>
    <t>791023-1******</t>
    <phoneticPr fontId="2" type="noConversion"/>
  </si>
  <si>
    <t>780918-1******</t>
    <phoneticPr fontId="2" type="noConversion"/>
  </si>
  <si>
    <t>770817-1******</t>
    <phoneticPr fontId="2" type="noConversion"/>
  </si>
  <si>
    <t>871121-1******</t>
    <phoneticPr fontId="2" type="noConversion"/>
  </si>
  <si>
    <t>881207-2******</t>
    <phoneticPr fontId="2" type="noConversion"/>
  </si>
  <si>
    <t>김경진</t>
  </si>
  <si>
    <t>손유종</t>
  </si>
  <si>
    <t>김정민</t>
  </si>
  <si>
    <t>김현빈</t>
  </si>
  <si>
    <t>노상빈</t>
  </si>
  <si>
    <t>서의훈</t>
  </si>
  <si>
    <t>송용권</t>
  </si>
  <si>
    <t>신원빈</t>
  </si>
  <si>
    <t>연창현</t>
  </si>
  <si>
    <t>유정수</t>
  </si>
  <si>
    <t>인상운</t>
  </si>
  <si>
    <t>주민기</t>
  </si>
  <si>
    <t>허사빈</t>
  </si>
  <si>
    <t>김청</t>
  </si>
  <si>
    <t>여현지</t>
  </si>
  <si>
    <t>김준하</t>
  </si>
  <si>
    <t>김현우</t>
  </si>
  <si>
    <t>박준형</t>
  </si>
  <si>
    <t>손양희</t>
  </si>
  <si>
    <t>안수홍</t>
  </si>
  <si>
    <t>유병재</t>
  </si>
  <si>
    <t>윤태경</t>
  </si>
  <si>
    <t>이건희</t>
  </si>
  <si>
    <t>이우성</t>
  </si>
  <si>
    <t>이재겸</t>
  </si>
  <si>
    <t>정송훈</t>
  </si>
  <si>
    <t>정윤호</t>
  </si>
  <si>
    <t>최민혁</t>
  </si>
  <si>
    <t>보험코드</t>
  </si>
  <si>
    <t>조건</t>
    <phoneticPr fontId="2" type="noConversion"/>
  </si>
  <si>
    <t>보험구분</t>
    <phoneticPr fontId="2" type="noConversion"/>
  </si>
  <si>
    <t>H</t>
    <phoneticPr fontId="2" type="noConversion"/>
  </si>
  <si>
    <t>건강</t>
    <phoneticPr fontId="2" type="noConversion"/>
  </si>
  <si>
    <t>J</t>
    <phoneticPr fontId="2" type="noConversion"/>
  </si>
  <si>
    <t>상해</t>
    <phoneticPr fontId="2" type="noConversion"/>
  </si>
  <si>
    <t>S</t>
    <phoneticPr fontId="2" type="noConversion"/>
  </si>
  <si>
    <t>저축</t>
    <phoneticPr fontId="2" type="noConversion"/>
  </si>
  <si>
    <t>변액</t>
    <phoneticPr fontId="2" type="noConversion"/>
  </si>
  <si>
    <t>연금</t>
    <phoneticPr fontId="2" type="noConversion"/>
  </si>
  <si>
    <t>V</t>
    <phoneticPr fontId="2" type="noConversion"/>
  </si>
  <si>
    <t>Y</t>
    <phoneticPr fontId="2" type="noConversion"/>
  </si>
  <si>
    <t>월불입액차트</t>
    <phoneticPr fontId="2" type="noConversion"/>
  </si>
  <si>
    <t>[표3]</t>
    <phoneticPr fontId="2" type="noConversion"/>
  </si>
  <si>
    <t>서울</t>
    <phoneticPr fontId="2" type="noConversion"/>
  </si>
  <si>
    <t>호남</t>
    <phoneticPr fontId="2" type="noConversion"/>
  </si>
  <si>
    <t>강원</t>
    <phoneticPr fontId="2" type="noConversion"/>
  </si>
  <si>
    <t>성명</t>
    <phoneticPr fontId="2" type="noConversion"/>
  </si>
  <si>
    <t>상해보험</t>
  </si>
  <si>
    <t>저축성보험</t>
  </si>
  <si>
    <t>총합계</t>
  </si>
  <si>
    <t>합계 : 월불입액</t>
  </si>
  <si>
    <t>주택저축보험</t>
  </si>
  <si>
    <t>홍길동</t>
  </si>
  <si>
    <t>가입지점명</t>
  </si>
  <si>
    <t>최환</t>
  </si>
  <si>
    <t>651205-2078912</t>
  </si>
  <si>
    <t>지수현</t>
  </si>
  <si>
    <t>601206-1672354</t>
  </si>
  <si>
    <t>출생년도</t>
    <phoneticPr fontId="2" type="noConversion"/>
  </si>
  <si>
    <t>출생월</t>
    <phoneticPr fontId="2" type="noConversion"/>
  </si>
  <si>
    <t>행</t>
    <phoneticPr fontId="2" type="noConversion"/>
  </si>
  <si>
    <t>열</t>
    <phoneticPr fontId="2" type="noConversion"/>
  </si>
  <si>
    <t>행*열</t>
    <phoneticPr fontId="2" type="noConversion"/>
  </si>
  <si>
    <t>구구단표</t>
    <phoneticPr fontId="2" type="noConversion"/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</si>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</sst>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0_ "/>
  </numFmts>
  <fonts count="8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rgb="FF000000"/>
      <name val="돋움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indexed="44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medium">
        <color indexed="64"/>
      </diagonal>
    </border>
  </borders>
  <cellStyleXfs count="2">
    <xf numFmtId="0" fontId="0" fillId="0" borderId="0"/>
    <xf numFmtId="41" fontId="1" fillId="0" borderId="0" applyFont="0" applyFill="0" applyBorder="0" applyAlignment="0" applyProtection="0"/>
  </cellStyleXfs>
  <cellXfs count="53">
    <xf numFmtId="0" fontId="0" fillId="0" borderId="0" xfId="0"/>
    <xf numFmtId="0" fontId="3" fillId="0" borderId="0" xfId="0" applyFont="1"/>
    <xf numFmtId="0" fontId="3" fillId="0" borderId="2" xfId="0" applyFont="1" applyBorder="1" applyAlignment="1">
      <alignment horizontal="center"/>
    </xf>
    <xf numFmtId="41" fontId="3" fillId="0" borderId="7" xfId="1" applyFont="1" applyFill="1" applyBorder="1" applyAlignment="1">
      <alignment horizontal="left"/>
    </xf>
    <xf numFmtId="41" fontId="3" fillId="0" borderId="7" xfId="1" applyFont="1" applyFill="1" applyBorder="1" applyAlignment="1">
      <alignment horizontal="center"/>
    </xf>
    <xf numFmtId="41" fontId="3" fillId="0" borderId="13" xfId="1" applyFont="1" applyFill="1" applyBorder="1" applyAlignment="1">
      <alignment horizontal="center"/>
    </xf>
    <xf numFmtId="0" fontId="3" fillId="0" borderId="2" xfId="0" applyFont="1" applyBorder="1"/>
    <xf numFmtId="0" fontId="4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14" xfId="0" applyFont="1" applyBorder="1" applyAlignment="1">
      <alignment horizontal="center"/>
    </xf>
    <xf numFmtId="0" fontId="3" fillId="0" borderId="0" xfId="0" applyFont="1" applyAlignment="1">
      <alignment horizontal="center"/>
    </xf>
    <xf numFmtId="176" fontId="3" fillId="0" borderId="2" xfId="0" applyNumberFormat="1" applyFont="1" applyBorder="1"/>
    <xf numFmtId="22" fontId="3" fillId="0" borderId="0" xfId="0" applyNumberFormat="1" applyFont="1"/>
    <xf numFmtId="41" fontId="3" fillId="0" borderId="2" xfId="1" applyFont="1" applyBorder="1"/>
    <xf numFmtId="14" fontId="3" fillId="0" borderId="2" xfId="0" applyNumberFormat="1" applyFont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177" fontId="3" fillId="0" borderId="2" xfId="0" applyNumberFormat="1" applyFont="1" applyBorder="1"/>
    <xf numFmtId="176" fontId="3" fillId="0" borderId="0" xfId="0" applyNumberFormat="1" applyFont="1"/>
    <xf numFmtId="0" fontId="4" fillId="0" borderId="3" xfId="0" applyFont="1" applyBorder="1" applyAlignment="1">
      <alignment horizontal="center"/>
    </xf>
    <xf numFmtId="0" fontId="4" fillId="0" borderId="9" xfId="0" applyFont="1" applyBorder="1" applyAlignment="1">
      <alignment vertical="center"/>
    </xf>
    <xf numFmtId="0" fontId="3" fillId="0" borderId="1" xfId="0" applyFont="1" applyBorder="1" applyAlignment="1">
      <alignment horizontal="center"/>
    </xf>
    <xf numFmtId="176" fontId="3" fillId="0" borderId="1" xfId="0" applyNumberFormat="1" applyFont="1" applyBorder="1" applyAlignment="1">
      <alignment horizontal="center"/>
    </xf>
    <xf numFmtId="176" fontId="3" fillId="0" borderId="2" xfId="0" applyNumberFormat="1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41" fontId="3" fillId="0" borderId="5" xfId="1" applyFont="1" applyFill="1" applyBorder="1" applyAlignment="1">
      <alignment horizontal="left"/>
    </xf>
    <xf numFmtId="41" fontId="3" fillId="0" borderId="5" xfId="1" applyFont="1" applyFill="1" applyBorder="1" applyAlignment="1">
      <alignment horizontal="center"/>
    </xf>
    <xf numFmtId="41" fontId="3" fillId="0" borderId="11" xfId="1" applyFont="1" applyFill="1" applyBorder="1" applyAlignment="1">
      <alignment horizontal="center"/>
    </xf>
    <xf numFmtId="41" fontId="3" fillId="0" borderId="6" xfId="1" applyFont="1" applyFill="1" applyBorder="1" applyAlignment="1">
      <alignment horizontal="left"/>
    </xf>
    <xf numFmtId="41" fontId="3" fillId="0" borderId="6" xfId="1" applyFont="1" applyFill="1" applyBorder="1" applyAlignment="1">
      <alignment horizontal="center"/>
    </xf>
    <xf numFmtId="41" fontId="3" fillId="0" borderId="12" xfId="1" applyFont="1" applyFill="1" applyBorder="1" applyAlignment="1">
      <alignment horizontal="center"/>
    </xf>
    <xf numFmtId="41" fontId="3" fillId="0" borderId="0" xfId="1" applyFont="1" applyFill="1"/>
    <xf numFmtId="0" fontId="3" fillId="0" borderId="8" xfId="0" applyFont="1" applyBorder="1" applyAlignment="1">
      <alignment horizontal="center"/>
    </xf>
    <xf numFmtId="176" fontId="3" fillId="0" borderId="8" xfId="0" applyNumberFormat="1" applyFont="1" applyBorder="1" applyAlignment="1">
      <alignment horizontal="center"/>
    </xf>
    <xf numFmtId="41" fontId="3" fillId="0" borderId="0" xfId="0" applyNumberFormat="1" applyFont="1"/>
    <xf numFmtId="176" fontId="3" fillId="0" borderId="0" xfId="0" applyNumberFormat="1" applyFont="1" applyAlignment="1">
      <alignment horizontal="center"/>
    </xf>
    <xf numFmtId="41" fontId="3" fillId="0" borderId="0" xfId="1" applyFont="1" applyFill="1" applyBorder="1"/>
    <xf numFmtId="0" fontId="3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right"/>
    </xf>
    <xf numFmtId="0" fontId="0" fillId="0" borderId="0" xfId="0" pivotButton="1"/>
    <xf numFmtId="41" fontId="0" fillId="0" borderId="0" xfId="0" applyNumberFormat="1"/>
    <xf numFmtId="0" fontId="3" fillId="3" borderId="14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5" fillId="0" borderId="2" xfId="0" applyFont="1" applyBorder="1" applyAlignment="1">
      <alignment horizontal="center"/>
    </xf>
    <xf numFmtId="14" fontId="5" fillId="0" borderId="2" xfId="0" applyNumberFormat="1" applyFont="1" applyBorder="1" applyAlignment="1">
      <alignment horizontal="center"/>
    </xf>
    <xf numFmtId="41" fontId="5" fillId="0" borderId="2" xfId="1" applyFont="1" applyBorder="1"/>
    <xf numFmtId="0" fontId="6" fillId="4" borderId="2" xfId="0" applyFont="1" applyFill="1" applyBorder="1" applyAlignment="1">
      <alignment horizontal="center"/>
    </xf>
    <xf numFmtId="14" fontId="0" fillId="0" borderId="0" xfId="0" applyNumberFormat="1"/>
    <xf numFmtId="0" fontId="3" fillId="5" borderId="2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9" xfId="0" applyFont="1" applyBorder="1" applyAlignment="1">
      <alignment horizontal="center" vertical="center"/>
    </xf>
    <xf numFmtId="0" fontId="4" fillId="0" borderId="9" xfId="0" applyFont="1" applyBorder="1" applyAlignment="1">
      <alignment horizontal="right"/>
    </xf>
  </cellXfs>
  <cellStyles count="2">
    <cellStyle name="쉼표 [0]" xfId="1" builtinId="6"/>
    <cellStyle name="표준" xfId="0" builtinId="0"/>
  </cellStyles>
  <dxfs count="11">
    <dxf>
      <fill>
        <patternFill patternType="solid">
          <fgColor rgb="FF9C0006"/>
          <bgColor rgb="FFFFFFFF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numFmt numFmtId="33" formatCode="_-* #,##0_-;\-* #,##0_-;_-* &quot;-&quot;_-;_-@_-"/>
    </dxf>
    <dxf>
      <numFmt numFmtId="19" formatCode="yyyy/mm/dd"/>
    </dxf>
    <dxf>
      <font>
        <b/>
        <i/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지점별 보험 판매 실적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'기타작업-1'!$B$4</c:f>
              <c:strCache>
                <c:ptCount val="1"/>
                <c:pt idx="0">
                  <c:v>건강보험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('기타작업-1'!$C$3:$E$3,'기타작업-1'!$G$3)</c:f>
              <c:strCache>
                <c:ptCount val="4"/>
                <c:pt idx="0">
                  <c:v>서울</c:v>
                </c:pt>
                <c:pt idx="1">
                  <c:v>충청</c:v>
                </c:pt>
                <c:pt idx="2">
                  <c:v>강원</c:v>
                </c:pt>
                <c:pt idx="3">
                  <c:v>호남</c:v>
                </c:pt>
              </c:strCache>
            </c:strRef>
          </c:cat>
          <c:val>
            <c:numRef>
              <c:f>('기타작업-1'!$C$4:$E$4,'기타작업-1'!$G$4)</c:f>
              <c:numCache>
                <c:formatCode>#,##0_ </c:formatCode>
                <c:ptCount val="4"/>
                <c:pt idx="0">
                  <c:v>120000</c:v>
                </c:pt>
                <c:pt idx="1">
                  <c:v>325000</c:v>
                </c:pt>
                <c:pt idx="2">
                  <c:v>35000</c:v>
                </c:pt>
                <c:pt idx="3">
                  <c:v>189000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33-41B6-B8EE-CEE14717F686}"/>
            </c:ext>
          </c:extLst>
        </c:ser>
        <c:ser>
          <c:idx val="1"/>
          <c:order val="1"/>
          <c:tx>
            <c:strRef>
              <c:f>'기타작업-1'!$B$5</c:f>
              <c:strCache>
                <c:ptCount val="1"/>
                <c:pt idx="0">
                  <c:v>변액보험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('기타작업-1'!$C$3:$E$3,'기타작업-1'!$G$3)</c:f>
              <c:strCache>
                <c:ptCount val="4"/>
                <c:pt idx="0">
                  <c:v>서울</c:v>
                </c:pt>
                <c:pt idx="1">
                  <c:v>충청</c:v>
                </c:pt>
                <c:pt idx="2">
                  <c:v>강원</c:v>
                </c:pt>
                <c:pt idx="3">
                  <c:v>호남</c:v>
                </c:pt>
              </c:strCache>
            </c:strRef>
          </c:cat>
          <c:val>
            <c:numRef>
              <c:f>('기타작업-1'!$C$5:$E$5,'기타작업-1'!$G$5)</c:f>
              <c:numCache>
                <c:formatCode>#,##0_ </c:formatCode>
                <c:ptCount val="4"/>
                <c:pt idx="0">
                  <c:v>250000</c:v>
                </c:pt>
                <c:pt idx="1">
                  <c:v>280000</c:v>
                </c:pt>
                <c:pt idx="2">
                  <c:v>350000</c:v>
                </c:pt>
                <c:pt idx="3">
                  <c:v>560000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33-41B6-B8EE-CEE14717F686}"/>
            </c:ext>
          </c:extLst>
        </c:ser>
        <c:ser>
          <c:idx val="2"/>
          <c:order val="2"/>
          <c:tx>
            <c:strRef>
              <c:f>'기타작업-1'!$B$6</c:f>
              <c:strCache>
                <c:ptCount val="1"/>
                <c:pt idx="0">
                  <c:v>상해보험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('기타작업-1'!$C$3:$E$3,'기타작업-1'!$G$3)</c:f>
              <c:strCache>
                <c:ptCount val="4"/>
                <c:pt idx="0">
                  <c:v>서울</c:v>
                </c:pt>
                <c:pt idx="1">
                  <c:v>충청</c:v>
                </c:pt>
                <c:pt idx="2">
                  <c:v>강원</c:v>
                </c:pt>
                <c:pt idx="3">
                  <c:v>호남</c:v>
                </c:pt>
              </c:strCache>
            </c:strRef>
          </c:cat>
          <c:val>
            <c:numRef>
              <c:f>('기타작업-1'!$C$6:$E$6,'기타작업-1'!$G$6)</c:f>
              <c:numCache>
                <c:formatCode>#,##0_ </c:formatCode>
                <c:ptCount val="4"/>
                <c:pt idx="0">
                  <c:v>35000</c:v>
                </c:pt>
                <c:pt idx="1">
                  <c:v>80000</c:v>
                </c:pt>
                <c:pt idx="2">
                  <c:v>0</c:v>
                </c:pt>
                <c:pt idx="3">
                  <c:v>270000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33-41B6-B8EE-CEE14717F686}"/>
            </c:ext>
          </c:extLst>
        </c:ser>
        <c:ser>
          <c:idx val="3"/>
          <c:order val="3"/>
          <c:tx>
            <c:strRef>
              <c:f>'기타작업-1'!$B$7</c:f>
              <c:strCache>
                <c:ptCount val="1"/>
                <c:pt idx="0">
                  <c:v>연금보험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('기타작업-1'!$C$3:$E$3,'기타작업-1'!$G$3)</c:f>
              <c:strCache>
                <c:ptCount val="4"/>
                <c:pt idx="0">
                  <c:v>서울</c:v>
                </c:pt>
                <c:pt idx="1">
                  <c:v>충청</c:v>
                </c:pt>
                <c:pt idx="2">
                  <c:v>강원</c:v>
                </c:pt>
                <c:pt idx="3">
                  <c:v>호남</c:v>
                </c:pt>
              </c:strCache>
            </c:strRef>
          </c:cat>
          <c:val>
            <c:numRef>
              <c:f>('기타작업-1'!$C$7:$E$7,'기타작업-1'!$G$7)</c:f>
              <c:numCache>
                <c:formatCode>#,##0_ </c:formatCode>
                <c:ptCount val="4"/>
                <c:pt idx="0">
                  <c:v>520000</c:v>
                </c:pt>
                <c:pt idx="1">
                  <c:v>500000</c:v>
                </c:pt>
                <c:pt idx="2">
                  <c:v>0</c:v>
                </c:pt>
                <c:pt idx="3">
                  <c:v>320000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A33-41B6-B8EE-CEE14717F686}"/>
            </c:ext>
          </c:extLst>
        </c:ser>
        <c:ser>
          <c:idx val="4"/>
          <c:order val="4"/>
          <c:tx>
            <c:strRef>
              <c:f>'기타작업-1'!$B$8</c:f>
              <c:strCache>
                <c:ptCount val="1"/>
                <c:pt idx="0">
                  <c:v>저축성보험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('기타작업-1'!$C$3:$E$3,'기타작업-1'!$G$3)</c:f>
              <c:strCache>
                <c:ptCount val="4"/>
                <c:pt idx="0">
                  <c:v>서울</c:v>
                </c:pt>
                <c:pt idx="1">
                  <c:v>충청</c:v>
                </c:pt>
                <c:pt idx="2">
                  <c:v>강원</c:v>
                </c:pt>
                <c:pt idx="3">
                  <c:v>호남</c:v>
                </c:pt>
              </c:strCache>
            </c:strRef>
          </c:cat>
          <c:val>
            <c:numRef>
              <c:f>('기타작업-1'!$C$8:$E$8,'기타작업-1'!$G$8)</c:f>
              <c:numCache>
                <c:formatCode>#,##0_ </c:formatCode>
                <c:ptCount val="4"/>
                <c:pt idx="0">
                  <c:v>1000000</c:v>
                </c:pt>
                <c:pt idx="1">
                  <c:v>400000</c:v>
                </c:pt>
                <c:pt idx="2">
                  <c:v>30000</c:v>
                </c:pt>
                <c:pt idx="3">
                  <c:v>105000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A33-41B6-B8EE-CEE14717F6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35108128"/>
        <c:axId val="2035108544"/>
      </c:barChart>
      <c:catAx>
        <c:axId val="2035108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지점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35108544"/>
        <c:crosses val="autoZero"/>
        <c:auto val="1"/>
        <c:lblAlgn val="ctr"/>
        <c:lblOffset val="100"/>
        <c:noMultiLvlLbl val="0"/>
      </c:catAx>
      <c:valAx>
        <c:axId val="203510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금액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#,##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3510812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</c:dispUnitsLbl>
        </c:dispUnits>
      </c:valAx>
      <c:spPr>
        <a:gradFill rotWithShape="1">
          <a:gsLst>
            <a:gs pos="0">
              <a:schemeClr val="accent5">
                <a:lumMod val="110000"/>
                <a:satMod val="105000"/>
                <a:tint val="67000"/>
              </a:schemeClr>
            </a:gs>
            <a:gs pos="50000">
              <a:schemeClr val="accent5">
                <a:lumMod val="105000"/>
                <a:satMod val="103000"/>
                <a:tint val="73000"/>
              </a:schemeClr>
            </a:gs>
            <a:gs pos="100000">
              <a:schemeClr val="accent5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5"/>
          </a:solidFill>
          <a:prstDash val="solid"/>
          <a:miter lim="800000"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7620</xdr:rowOff>
    </xdr:from>
    <xdr:to>
      <xdr:col>10</xdr:col>
      <xdr:colOff>0</xdr:colOff>
      <xdr:row>25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구구단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구구단삭제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</xdr:row>
          <xdr:rowOff>9525</xdr:rowOff>
        </xdr:from>
        <xdr:to>
          <xdr:col>8</xdr:col>
          <xdr:colOff>228600</xdr:colOff>
          <xdr:row>3</xdr:row>
          <xdr:rowOff>0</xdr:rowOff>
        </xdr:to>
        <xdr:sp macro="" textlink="">
          <xdr:nvSpPr>
            <xdr:cNvPr id="4097" name="가입신청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8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wner" refreshedDate="44186.681916435184" createdVersion="6" refreshedVersion="6" minRefreshableVersion="3" recordCount="32" xr:uid="{00000000-000A-0000-FFFF-FFFF2A000000}">
  <cacheSource type="external" connectionId="2"/>
  <cacheFields count="8">
    <cacheField name="가입자명" numFmtId="0" sqlType="-9">
      <sharedItems/>
    </cacheField>
    <cacheField name="주민등록번호" numFmtId="0" sqlType="-9">
      <sharedItems/>
    </cacheField>
    <cacheField name="가입년월일" numFmtId="0" sqlType="11">
      <sharedItems containsSemiMixedTypes="0" containsNonDate="0" containsDate="1" containsString="0" minDate="1995-01-04T00:00:00" maxDate="2002-04-20T00:00:00"/>
    </cacheField>
    <cacheField name="보험코드" numFmtId="0" sqlType="-9">
      <sharedItems count="5">
        <s v="S001"/>
        <s v="H001"/>
        <s v="Y001"/>
        <s v="V001"/>
        <s v="J001"/>
      </sharedItems>
    </cacheField>
    <cacheField name="보험종류" numFmtId="0" sqlType="-9">
      <sharedItems count="5">
        <s v="저축성보험"/>
        <s v="건강보험"/>
        <s v="연금보험"/>
        <s v="변액보험"/>
        <s v="상해보험"/>
      </sharedItems>
    </cacheField>
    <cacheField name="가입지점명" numFmtId="0" sqlType="-9">
      <sharedItems count="5">
        <s v="호남"/>
        <s v="강원"/>
        <s v="서울"/>
        <s v="영남"/>
        <s v="충청"/>
      </sharedItems>
    </cacheField>
    <cacheField name="월불입액" numFmtId="0" sqlType="8">
      <sharedItems containsSemiMixedTypes="0" containsString="0" containsNumber="1" containsInteger="1" minValue="30000" maxValue="1200000" count="29">
        <n v="105000"/>
        <n v="35000"/>
        <n v="180000"/>
        <n v="250000"/>
        <n v="75000"/>
        <n v="30000"/>
        <n v="280000"/>
        <n v="340000"/>
        <n v="1000000"/>
        <n v="189000"/>
        <n v="270000"/>
        <n v="120000"/>
        <n v="1200000"/>
        <n v="380000"/>
        <n v="240000"/>
        <n v="150000"/>
        <n v="210000"/>
        <n v="520000"/>
        <n v="400000"/>
        <n v="325000"/>
        <n v="140000"/>
        <n v="52500"/>
        <n v="78000"/>
        <n v="320000"/>
        <n v="700000"/>
        <n v="500000"/>
        <n v="85000"/>
        <n v="200000"/>
        <n v="350000"/>
      </sharedItems>
    </cacheField>
    <cacheField name="보장액" numFmtId="0" sqlType="8">
      <sharedItems containsSemiMixedTypes="0" containsString="0" containsNumber="1" containsInteger="1" minValue="30000000" maxValue="2000000000" count="23">
        <n v="250000000"/>
        <n v="50000000"/>
        <n v="1250000000"/>
        <n v="45000000"/>
        <n v="30000000"/>
        <n v="1800000000"/>
        <n v="1500000000"/>
        <n v="1400000000"/>
        <n v="230000000"/>
        <n v="800000000"/>
        <n v="200000000"/>
        <n v="1200000000"/>
        <n v="1450000000"/>
        <n v="850000000"/>
        <n v="300000000"/>
        <n v="500000000"/>
        <n v="750000000"/>
        <n v="350000000"/>
        <n v="100000000"/>
        <n v="700000000"/>
        <n v="2000000000"/>
        <n v="1850000000"/>
        <n v="10000000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">
  <r>
    <s v="곽민성"/>
    <s v="450121-2174318"/>
    <d v="1998-03-09T00:00:00"/>
    <x v="0"/>
    <x v="0"/>
    <x v="0"/>
    <x v="0"/>
    <x v="0"/>
  </r>
  <r>
    <s v="구민수"/>
    <s v="781207-2061336"/>
    <d v="1998-05-08T00:00:00"/>
    <x v="1"/>
    <x v="1"/>
    <x v="1"/>
    <x v="1"/>
    <x v="1"/>
  </r>
  <r>
    <s v="권준학"/>
    <s v="670817-1241919"/>
    <d v="1998-09-10T00:00:00"/>
    <x v="2"/>
    <x v="2"/>
    <x v="0"/>
    <x v="2"/>
    <x v="0"/>
  </r>
  <r>
    <s v="김다현"/>
    <s v="580208-1029123"/>
    <d v="1998-02-26T00:00:00"/>
    <x v="3"/>
    <x v="3"/>
    <x v="2"/>
    <x v="3"/>
    <x v="2"/>
  </r>
  <r>
    <s v="김명준"/>
    <s v="800108-1177414"/>
    <d v="1998-10-24T00:00:00"/>
    <x v="4"/>
    <x v="4"/>
    <x v="3"/>
    <x v="4"/>
    <x v="3"/>
  </r>
  <r>
    <s v="김병관"/>
    <s v="581212-2067143"/>
    <d v="1998-11-10T00:00:00"/>
    <x v="0"/>
    <x v="0"/>
    <x v="1"/>
    <x v="5"/>
    <x v="4"/>
  </r>
  <r>
    <s v="김소영"/>
    <s v="400521-2136928"/>
    <d v="1997-08-23T00:00:00"/>
    <x v="3"/>
    <x v="3"/>
    <x v="4"/>
    <x v="6"/>
    <x v="5"/>
  </r>
  <r>
    <s v="김자인"/>
    <s v="610206-1734129"/>
    <d v="1996-12-09T00:00:00"/>
    <x v="3"/>
    <x v="3"/>
    <x v="1"/>
    <x v="7"/>
    <x v="6"/>
  </r>
  <r>
    <s v="김장현"/>
    <s v="691001-1021982"/>
    <d v="1998-11-16T00:00:00"/>
    <x v="0"/>
    <x v="0"/>
    <x v="2"/>
    <x v="8"/>
    <x v="7"/>
  </r>
  <r>
    <s v="김종유"/>
    <s v="700405-2176724"/>
    <d v="1998-12-08T00:00:00"/>
    <x v="4"/>
    <x v="4"/>
    <x v="2"/>
    <x v="1"/>
    <x v="4"/>
  </r>
  <r>
    <s v="민서준"/>
    <s v="630225-1052387"/>
    <d v="1999-05-04T00:00:00"/>
    <x v="1"/>
    <x v="1"/>
    <x v="0"/>
    <x v="9"/>
    <x v="8"/>
  </r>
  <r>
    <s v="박재민"/>
    <s v="401020-1021956"/>
    <d v="1999-06-19T00:00:00"/>
    <x v="4"/>
    <x v="4"/>
    <x v="0"/>
    <x v="10"/>
    <x v="9"/>
  </r>
  <r>
    <s v="박정"/>
    <s v="720918-1192432"/>
    <d v="1997-12-01T00:00:00"/>
    <x v="1"/>
    <x v="1"/>
    <x v="2"/>
    <x v="11"/>
    <x v="10"/>
  </r>
  <r>
    <s v="성민기"/>
    <s v="740121-1048912"/>
    <d v="1999-08-10T00:00:00"/>
    <x v="2"/>
    <x v="2"/>
    <x v="1"/>
    <x v="12"/>
    <x v="11"/>
  </r>
  <r>
    <s v="소현"/>
    <s v="680918-1318424"/>
    <d v="2000-02-14T00:00:00"/>
    <x v="2"/>
    <x v="2"/>
    <x v="3"/>
    <x v="13"/>
    <x v="12"/>
  </r>
  <r>
    <s v="손지수"/>
    <s v="570714-1579102"/>
    <d v="1998-01-26T00:00:00"/>
    <x v="3"/>
    <x v="3"/>
    <x v="0"/>
    <x v="14"/>
    <x v="13"/>
  </r>
  <r>
    <s v="유효승"/>
    <s v="681020-1021956"/>
    <d v="2001-06-19T00:00:00"/>
    <x v="4"/>
    <x v="4"/>
    <x v="1"/>
    <x v="15"/>
    <x v="14"/>
  </r>
  <r>
    <s v="윤유림"/>
    <s v="560201-1724387"/>
    <d v="2001-08-22T00:00:00"/>
    <x v="0"/>
    <x v="0"/>
    <x v="3"/>
    <x v="16"/>
    <x v="15"/>
  </r>
  <r>
    <s v="이성민"/>
    <s v="771121-1378291"/>
    <d v="1999-09-07T00:00:00"/>
    <x v="2"/>
    <x v="2"/>
    <x v="2"/>
    <x v="17"/>
    <x v="5"/>
  </r>
  <r>
    <s v="이양규"/>
    <s v="690926-2155384"/>
    <d v="1999-11-14T00:00:00"/>
    <x v="0"/>
    <x v="0"/>
    <x v="4"/>
    <x v="18"/>
    <x v="16"/>
  </r>
  <r>
    <s v="이원중"/>
    <s v="780308-2528712"/>
    <d v="1999-12-09T00:00:00"/>
    <x v="1"/>
    <x v="1"/>
    <x v="4"/>
    <x v="19"/>
    <x v="11"/>
  </r>
  <r>
    <s v="이인호"/>
    <s v="541202-1058142"/>
    <d v="2000-04-17T00:00:00"/>
    <x v="2"/>
    <x v="2"/>
    <x v="0"/>
    <x v="20"/>
    <x v="15"/>
  </r>
  <r>
    <s v="이진혁"/>
    <s v="530118-1482101"/>
    <d v="2000-09-26T00:00:00"/>
    <x v="0"/>
    <x v="0"/>
    <x v="1"/>
    <x v="21"/>
    <x v="17"/>
  </r>
  <r>
    <s v="이현석"/>
    <s v="671120-1179812"/>
    <d v="2000-12-22T00:00:00"/>
    <x v="1"/>
    <x v="1"/>
    <x v="3"/>
    <x v="22"/>
    <x v="18"/>
  </r>
  <r>
    <s v="정충원"/>
    <s v="691023-1048247"/>
    <d v="2001-03-04T00:00:00"/>
    <x v="2"/>
    <x v="2"/>
    <x v="3"/>
    <x v="14"/>
    <x v="19"/>
  </r>
  <r>
    <s v="조수혁"/>
    <s v="340508-1033698"/>
    <d v="2001-04-19T00:00:00"/>
    <x v="3"/>
    <x v="3"/>
    <x v="0"/>
    <x v="23"/>
    <x v="7"/>
  </r>
  <r>
    <s v="지수현"/>
    <s v="601206-1672354"/>
    <d v="2001-11-29T00:00:00"/>
    <x v="3"/>
    <x v="3"/>
    <x v="3"/>
    <x v="24"/>
    <x v="20"/>
  </r>
  <r>
    <s v="최준희"/>
    <s v="780508-1038244"/>
    <d v="2001-12-04T00:00:00"/>
    <x v="2"/>
    <x v="2"/>
    <x v="4"/>
    <x v="25"/>
    <x v="21"/>
  </r>
  <r>
    <s v="최환"/>
    <s v="651205-2078912"/>
    <d v="2001-12-26T00:00:00"/>
    <x v="3"/>
    <x v="3"/>
    <x v="3"/>
    <x v="26"/>
    <x v="13"/>
  </r>
  <r>
    <s v="한상민"/>
    <s v="540208-2033698"/>
    <d v="2002-04-19T00:00:00"/>
    <x v="3"/>
    <x v="3"/>
    <x v="2"/>
    <x v="27"/>
    <x v="22"/>
  </r>
  <r>
    <s v="허정유"/>
    <s v="701026-1623546"/>
    <d v="1999-11-29T00:00:00"/>
    <x v="3"/>
    <x v="3"/>
    <x v="4"/>
    <x v="23"/>
    <x v="6"/>
  </r>
  <r>
    <s v="황현성"/>
    <s v="681208-1027244"/>
    <d v="1995-01-04T00:00:00"/>
    <x v="3"/>
    <x v="3"/>
    <x v="1"/>
    <x v="28"/>
    <x v="2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피벗 테이블9" cacheId="0" applyNumberFormats="0" applyBorderFormats="0" applyFontFormats="0" applyPatternFormats="0" applyAlignmentFormats="0" applyWidthHeightFormats="1" dataCaption="값" missingCaption="*" updatedVersion="6" minRefreshableVersion="3" useAutoFormatting="1" itemPrintTitles="1" createdVersion="6" indent="0" compact="0" outline="1" outlineData="1" compactData="0" multipleFieldFilters="0" fieldListSortAscending="1">
  <location ref="B2:H9" firstHeaderRow="1" firstDataRow="2" firstDataCol="1"/>
  <pivotFields count="8">
    <pivotField compact="0" showAll="0"/>
    <pivotField compact="0" showAll="0"/>
    <pivotField compact="0" showAll="0"/>
    <pivotField compact="0" showAll="0"/>
    <pivotField axis="axisRow" compact="0" showAll="0">
      <items count="6">
        <item x="1"/>
        <item x="3"/>
        <item x="4"/>
        <item x="2"/>
        <item x="0"/>
        <item t="default"/>
      </items>
    </pivotField>
    <pivotField axis="axisCol" compact="0" showAll="0">
      <items count="6">
        <item x="1"/>
        <item x="2"/>
        <item x="3"/>
        <item x="4"/>
        <item x="0"/>
        <item t="default"/>
      </items>
    </pivotField>
    <pivotField dataField="1"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5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합계 : 월불입액" fld="6" baseField="0" baseItem="0" numFmtId="41"/>
  </dataFields>
  <formats count="1">
    <format dxfId="8">
      <pivotArea outline="0" collapsedLevelsAreSubtotals="1" fieldPosition="0"/>
    </format>
  </format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표2" displayName="표2" ref="A1:H3" totalsRowShown="0">
  <autoFilter ref="A1:H3" xr:uid="{00000000-0009-0000-0100-000002000000}"/>
  <tableColumns count="8">
    <tableColumn id="1" xr3:uid="{00000000-0010-0000-0000-000001000000}" name="가입자명"/>
    <tableColumn id="2" xr3:uid="{00000000-0010-0000-0000-000002000000}" name="주민등록번호"/>
    <tableColumn id="3" xr3:uid="{00000000-0010-0000-0000-000003000000}" name="가입년월일" dataDxfId="9"/>
    <tableColumn id="4" xr3:uid="{00000000-0010-0000-0000-000004000000}" name="보험코드"/>
    <tableColumn id="5" xr3:uid="{00000000-0010-0000-0000-000005000000}" name="보험종류"/>
    <tableColumn id="6" xr3:uid="{00000000-0010-0000-0000-000006000000}" name="가입지점명"/>
    <tableColumn id="7" xr3:uid="{00000000-0010-0000-0000-000007000000}" name="월불입액"/>
    <tableColumn id="8" xr3:uid="{00000000-0010-0000-0000-000008000000}" name="보장액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25"/>
  <sheetViews>
    <sheetView workbookViewId="0">
      <selection activeCell="A16" sqref="A16"/>
    </sheetView>
  </sheetViews>
  <sheetFormatPr defaultRowHeight="13.5"/>
  <cols>
    <col min="1" max="1" width="8.21875" bestFit="1" customWidth="1"/>
    <col min="2" max="2" width="12.77734375" bestFit="1" customWidth="1"/>
    <col min="3" max="3" width="13.44140625" customWidth="1"/>
    <col min="4" max="4" width="13.88671875" customWidth="1"/>
    <col min="5" max="6" width="12.5546875" bestFit="1" customWidth="1"/>
    <col min="7" max="7" width="15" bestFit="1" customWidth="1"/>
  </cols>
  <sheetData>
    <row r="1" spans="1:7" ht="15">
      <c r="A1" s="15" t="s">
        <v>12</v>
      </c>
      <c r="B1" s="15" t="s">
        <v>13</v>
      </c>
      <c r="C1" s="15" t="s">
        <v>14</v>
      </c>
      <c r="D1" s="15" t="s">
        <v>15</v>
      </c>
      <c r="E1" s="15" t="s">
        <v>40</v>
      </c>
      <c r="F1" s="15" t="s">
        <v>16</v>
      </c>
      <c r="G1" s="15" t="s">
        <v>17</v>
      </c>
    </row>
    <row r="2" spans="1:7" ht="15">
      <c r="A2" s="2" t="s">
        <v>74</v>
      </c>
      <c r="B2" s="2" t="s">
        <v>60</v>
      </c>
      <c r="C2" s="14">
        <v>36633</v>
      </c>
      <c r="D2" s="2" t="s">
        <v>20</v>
      </c>
      <c r="E2" s="2" t="s">
        <v>19</v>
      </c>
      <c r="F2" s="13">
        <v>140000</v>
      </c>
      <c r="G2" s="13">
        <v>500000000</v>
      </c>
    </row>
    <row r="3" spans="1:7" ht="15">
      <c r="A3" s="2" t="s">
        <v>76</v>
      </c>
      <c r="B3" s="2" t="s">
        <v>62</v>
      </c>
      <c r="C3" s="14">
        <v>37224</v>
      </c>
      <c r="D3" s="2" t="s">
        <v>18</v>
      </c>
      <c r="E3" s="2" t="s">
        <v>23</v>
      </c>
      <c r="F3" s="13">
        <v>700000</v>
      </c>
      <c r="G3" s="13">
        <v>2000000000</v>
      </c>
    </row>
    <row r="4" spans="1:7" ht="15">
      <c r="A4" s="2" t="s">
        <v>87</v>
      </c>
      <c r="B4" s="2" t="s">
        <v>73</v>
      </c>
      <c r="C4" s="14">
        <v>35923</v>
      </c>
      <c r="D4" s="2" t="s">
        <v>21</v>
      </c>
      <c r="E4" s="2" t="s">
        <v>25</v>
      </c>
      <c r="F4" s="13">
        <v>35000</v>
      </c>
      <c r="G4" s="13">
        <v>50000000</v>
      </c>
    </row>
    <row r="5" spans="1:7" ht="15">
      <c r="A5" s="2" t="s">
        <v>77</v>
      </c>
      <c r="B5" s="2" t="s">
        <v>63</v>
      </c>
      <c r="C5" s="14">
        <v>36503</v>
      </c>
      <c r="D5" s="2" t="s">
        <v>21</v>
      </c>
      <c r="E5" s="2" t="s">
        <v>22</v>
      </c>
      <c r="F5" s="13">
        <v>325000</v>
      </c>
      <c r="G5" s="13">
        <v>1200000000</v>
      </c>
    </row>
    <row r="6" spans="1:7" ht="15">
      <c r="A6" s="2" t="s">
        <v>78</v>
      </c>
      <c r="B6" s="2" t="s">
        <v>64</v>
      </c>
      <c r="C6" s="14">
        <v>37229</v>
      </c>
      <c r="D6" s="2" t="s">
        <v>20</v>
      </c>
      <c r="E6" s="2" t="s">
        <v>22</v>
      </c>
      <c r="F6" s="13">
        <v>500000</v>
      </c>
      <c r="G6" s="13">
        <v>1850000000</v>
      </c>
    </row>
    <row r="7" spans="1:7" ht="15">
      <c r="A7" s="2" t="s">
        <v>79</v>
      </c>
      <c r="B7" s="2" t="s">
        <v>65</v>
      </c>
      <c r="C7" s="14">
        <v>36882</v>
      </c>
      <c r="D7" s="2" t="s">
        <v>21</v>
      </c>
      <c r="E7" s="2" t="s">
        <v>23</v>
      </c>
      <c r="F7" s="13">
        <v>78000</v>
      </c>
      <c r="G7" s="13">
        <v>100000000</v>
      </c>
    </row>
    <row r="8" spans="1:7" ht="15">
      <c r="A8" s="2" t="s">
        <v>75</v>
      </c>
      <c r="B8" s="2" t="s">
        <v>61</v>
      </c>
      <c r="C8" s="14">
        <v>36284</v>
      </c>
      <c r="D8" s="2" t="s">
        <v>21</v>
      </c>
      <c r="E8" s="2" t="s">
        <v>19</v>
      </c>
      <c r="F8" s="13">
        <v>189000</v>
      </c>
      <c r="G8" s="13">
        <v>230000000</v>
      </c>
    </row>
    <row r="9" spans="1:7" ht="15">
      <c r="A9" s="2" t="s">
        <v>80</v>
      </c>
      <c r="B9" s="2" t="s">
        <v>66</v>
      </c>
      <c r="C9" s="14">
        <v>36382</v>
      </c>
      <c r="D9" s="2" t="s">
        <v>39</v>
      </c>
      <c r="E9" s="2" t="s">
        <v>25</v>
      </c>
      <c r="F9" s="13">
        <v>1200000</v>
      </c>
      <c r="G9" s="13">
        <v>1200000000</v>
      </c>
    </row>
    <row r="10" spans="1:7" ht="15">
      <c r="A10" s="2" t="s">
        <v>81</v>
      </c>
      <c r="B10" s="2" t="s">
        <v>67</v>
      </c>
      <c r="C10" s="14">
        <v>37000</v>
      </c>
      <c r="D10" s="2" t="s">
        <v>18</v>
      </c>
      <c r="E10" s="2" t="s">
        <v>19</v>
      </c>
      <c r="F10" s="13">
        <v>320000</v>
      </c>
      <c r="G10" s="13">
        <v>1400000000</v>
      </c>
    </row>
    <row r="11" spans="1:7" ht="15">
      <c r="A11" s="2" t="s">
        <v>82</v>
      </c>
      <c r="B11" s="2" t="s">
        <v>68</v>
      </c>
      <c r="C11" s="14">
        <v>36493</v>
      </c>
      <c r="D11" s="2" t="s">
        <v>18</v>
      </c>
      <c r="E11" s="2" t="s">
        <v>22</v>
      </c>
      <c r="F11" s="13">
        <v>320000</v>
      </c>
      <c r="G11" s="13">
        <v>1500000000</v>
      </c>
    </row>
    <row r="12" spans="1:7" ht="15">
      <c r="A12" s="2" t="s">
        <v>83</v>
      </c>
      <c r="B12" s="2" t="s">
        <v>69</v>
      </c>
      <c r="C12" s="14">
        <v>36954</v>
      </c>
      <c r="D12" s="2" t="s">
        <v>20</v>
      </c>
      <c r="E12" s="2" t="s">
        <v>23</v>
      </c>
      <c r="F12" s="13">
        <v>240000</v>
      </c>
      <c r="G12" s="13">
        <v>700000000</v>
      </c>
    </row>
    <row r="13" spans="1:7" ht="15">
      <c r="A13" s="2" t="s">
        <v>84</v>
      </c>
      <c r="B13" s="2" t="s">
        <v>70</v>
      </c>
      <c r="C13" s="14">
        <v>36570</v>
      </c>
      <c r="D13" s="2" t="s">
        <v>39</v>
      </c>
      <c r="E13" s="2" t="s">
        <v>23</v>
      </c>
      <c r="F13" s="13">
        <v>380000</v>
      </c>
      <c r="G13" s="13">
        <v>1450000000</v>
      </c>
    </row>
    <row r="14" spans="1:7" ht="15">
      <c r="A14" s="2" t="s">
        <v>85</v>
      </c>
      <c r="B14" s="2" t="s">
        <v>71</v>
      </c>
      <c r="C14" s="14">
        <v>36048</v>
      </c>
      <c r="D14" s="2" t="s">
        <v>20</v>
      </c>
      <c r="E14" s="2" t="s">
        <v>19</v>
      </c>
      <c r="F14" s="13">
        <v>180000</v>
      </c>
      <c r="G14" s="13">
        <v>250000000</v>
      </c>
    </row>
    <row r="15" spans="1:7" ht="15">
      <c r="A15" s="2" t="s">
        <v>86</v>
      </c>
      <c r="B15" s="2" t="s">
        <v>72</v>
      </c>
      <c r="C15" s="14">
        <v>36410</v>
      </c>
      <c r="D15" s="2" t="s">
        <v>39</v>
      </c>
      <c r="E15" s="2" t="s">
        <v>24</v>
      </c>
      <c r="F15" s="13">
        <v>520000</v>
      </c>
      <c r="G15" s="13">
        <v>1800000000</v>
      </c>
    </row>
    <row r="16" spans="1:7" ht="15">
      <c r="A16" s="1"/>
      <c r="B16" s="1"/>
      <c r="C16" s="1"/>
      <c r="D16" s="1"/>
      <c r="E16" s="1"/>
      <c r="F16" s="1"/>
      <c r="G16" s="1"/>
    </row>
    <row r="17" spans="1:7" ht="15">
      <c r="A17" s="1" t="s">
        <v>103</v>
      </c>
      <c r="B17" s="1"/>
      <c r="C17" s="1"/>
      <c r="D17" s="1"/>
      <c r="E17" s="1"/>
      <c r="F17" s="1"/>
      <c r="G17" s="1"/>
    </row>
    <row r="18" spans="1:7" ht="15">
      <c r="A18" s="1" t="b">
        <f>AND(MONTH(C2)&lt;=6,RIGHT(E2,1)="남")</f>
        <v>1</v>
      </c>
      <c r="B18" s="1"/>
      <c r="C18" s="1"/>
      <c r="D18" s="12"/>
      <c r="E18" s="1"/>
      <c r="F18" s="1"/>
      <c r="G18" s="1"/>
    </row>
    <row r="19" spans="1:7" ht="15">
      <c r="A19" s="1"/>
      <c r="B19" s="1"/>
      <c r="C19" s="1"/>
      <c r="D19" s="1"/>
      <c r="E19" s="1"/>
      <c r="F19" s="1"/>
      <c r="G19" s="1"/>
    </row>
    <row r="20" spans="1:7" ht="15">
      <c r="A20" s="15" t="s">
        <v>12</v>
      </c>
      <c r="B20" s="15" t="s">
        <v>13</v>
      </c>
      <c r="C20" s="15" t="s">
        <v>14</v>
      </c>
      <c r="D20" s="15" t="s">
        <v>15</v>
      </c>
      <c r="E20" s="15" t="s">
        <v>40</v>
      </c>
      <c r="F20" s="15" t="s">
        <v>16</v>
      </c>
      <c r="G20" s="15" t="s">
        <v>17</v>
      </c>
    </row>
    <row r="21" spans="1:7" ht="15">
      <c r="A21" s="2" t="s">
        <v>74</v>
      </c>
      <c r="B21" s="2" t="s">
        <v>60</v>
      </c>
      <c r="C21" s="14">
        <v>36633</v>
      </c>
      <c r="D21" s="2" t="s">
        <v>20</v>
      </c>
      <c r="E21" s="2" t="s">
        <v>19</v>
      </c>
      <c r="F21" s="13">
        <v>140000</v>
      </c>
      <c r="G21" s="13">
        <v>500000000</v>
      </c>
    </row>
    <row r="22" spans="1:7" ht="15">
      <c r="A22" s="2" t="s">
        <v>75</v>
      </c>
      <c r="B22" s="2" t="s">
        <v>61</v>
      </c>
      <c r="C22" s="14">
        <v>36284</v>
      </c>
      <c r="D22" s="2" t="s">
        <v>21</v>
      </c>
      <c r="E22" s="2" t="s">
        <v>19</v>
      </c>
      <c r="F22" s="13">
        <v>189000</v>
      </c>
      <c r="G22" s="13">
        <v>230000000</v>
      </c>
    </row>
    <row r="23" spans="1:7" ht="15">
      <c r="A23" s="2" t="s">
        <v>81</v>
      </c>
      <c r="B23" s="2" t="s">
        <v>67</v>
      </c>
      <c r="C23" s="14">
        <v>37000</v>
      </c>
      <c r="D23" s="2" t="s">
        <v>18</v>
      </c>
      <c r="E23" s="2" t="s">
        <v>19</v>
      </c>
      <c r="F23" s="13">
        <v>320000</v>
      </c>
      <c r="G23" s="13">
        <v>1400000000</v>
      </c>
    </row>
    <row r="24" spans="1:7" ht="15">
      <c r="A24" s="2" t="s">
        <v>83</v>
      </c>
      <c r="B24" s="2" t="s">
        <v>69</v>
      </c>
      <c r="C24" s="14">
        <v>36954</v>
      </c>
      <c r="D24" s="2" t="s">
        <v>20</v>
      </c>
      <c r="E24" s="2" t="s">
        <v>23</v>
      </c>
      <c r="F24" s="13">
        <v>240000</v>
      </c>
      <c r="G24" s="13">
        <v>700000000</v>
      </c>
    </row>
    <row r="25" spans="1:7" ht="15">
      <c r="A25" s="2" t="s">
        <v>84</v>
      </c>
      <c r="B25" s="2" t="s">
        <v>70</v>
      </c>
      <c r="C25" s="14">
        <v>36570</v>
      </c>
      <c r="D25" s="2" t="s">
        <v>39</v>
      </c>
      <c r="E25" s="2" t="s">
        <v>23</v>
      </c>
      <c r="F25" s="13">
        <v>380000</v>
      </c>
      <c r="G25" s="13">
        <v>1450000000</v>
      </c>
    </row>
  </sheetData>
  <phoneticPr fontId="2" type="noConversion"/>
  <conditionalFormatting sqref="A2:G15">
    <cfRule type="expression" dxfId="10" priority="1">
      <formula>AND(MID($B2,8,1)="1",ISEVEN(YEAR($C2)))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G15"/>
  <sheetViews>
    <sheetView workbookViewId="0">
      <selection activeCell="H4" sqref="H4"/>
    </sheetView>
  </sheetViews>
  <sheetFormatPr defaultColWidth="8.88671875" defaultRowHeight="13.5" customHeight="1"/>
  <cols>
    <col min="1" max="1" width="8.21875" style="1" bestFit="1" customWidth="1"/>
    <col min="2" max="2" width="12.77734375" style="1" bestFit="1" customWidth="1"/>
    <col min="3" max="3" width="13.44140625" style="1" customWidth="1"/>
    <col min="4" max="4" width="13.88671875" style="1" customWidth="1"/>
    <col min="5" max="6" width="12.5546875" style="1" bestFit="1" customWidth="1"/>
    <col min="7" max="7" width="15" style="1" bestFit="1" customWidth="1"/>
    <col min="8" max="8" width="14.44140625" style="1" bestFit="1" customWidth="1"/>
    <col min="9" max="16384" width="8.88671875" style="1"/>
  </cols>
  <sheetData>
    <row r="1" spans="1:7" ht="16.5">
      <c r="A1" s="46" t="s">
        <v>12</v>
      </c>
      <c r="B1" s="46" t="s">
        <v>13</v>
      </c>
      <c r="C1" s="46" t="s">
        <v>14</v>
      </c>
      <c r="D1" s="46" t="s">
        <v>15</v>
      </c>
      <c r="E1" s="46" t="s">
        <v>40</v>
      </c>
      <c r="F1" s="46" t="s">
        <v>16</v>
      </c>
      <c r="G1" s="46" t="s">
        <v>17</v>
      </c>
    </row>
    <row r="2" spans="1:7" ht="16.5">
      <c r="A2" s="43" t="s">
        <v>87</v>
      </c>
      <c r="B2" s="43" t="s">
        <v>73</v>
      </c>
      <c r="C2" s="44">
        <v>35923</v>
      </c>
      <c r="D2" s="43" t="s">
        <v>21</v>
      </c>
      <c r="E2" s="43" t="s">
        <v>25</v>
      </c>
      <c r="F2" s="45">
        <v>35000</v>
      </c>
      <c r="G2" s="45">
        <v>50000000</v>
      </c>
    </row>
    <row r="3" spans="1:7" ht="16.5">
      <c r="A3" s="43" t="s">
        <v>85</v>
      </c>
      <c r="B3" s="43" t="s">
        <v>71</v>
      </c>
      <c r="C3" s="44">
        <v>36048</v>
      </c>
      <c r="D3" s="43" t="s">
        <v>20</v>
      </c>
      <c r="E3" s="43" t="s">
        <v>19</v>
      </c>
      <c r="F3" s="45">
        <v>180000</v>
      </c>
      <c r="G3" s="45">
        <v>250000000</v>
      </c>
    </row>
    <row r="4" spans="1:7" ht="16.5">
      <c r="A4" s="43" t="s">
        <v>75</v>
      </c>
      <c r="B4" s="43" t="s">
        <v>61</v>
      </c>
      <c r="C4" s="44">
        <v>36284</v>
      </c>
      <c r="D4" s="43" t="s">
        <v>21</v>
      </c>
      <c r="E4" s="43" t="s">
        <v>19</v>
      </c>
      <c r="F4" s="45">
        <v>189000</v>
      </c>
      <c r="G4" s="45">
        <v>230000000</v>
      </c>
    </row>
    <row r="5" spans="1:7" ht="16.5">
      <c r="A5" s="43" t="s">
        <v>80</v>
      </c>
      <c r="B5" s="43" t="s">
        <v>66</v>
      </c>
      <c r="C5" s="44">
        <v>36382</v>
      </c>
      <c r="D5" s="43" t="s">
        <v>39</v>
      </c>
      <c r="E5" s="43" t="s">
        <v>25</v>
      </c>
      <c r="F5" s="45">
        <v>1200000</v>
      </c>
      <c r="G5" s="45">
        <v>1200000000</v>
      </c>
    </row>
    <row r="6" spans="1:7" ht="16.5">
      <c r="A6" s="43" t="s">
        <v>86</v>
      </c>
      <c r="B6" s="43" t="s">
        <v>72</v>
      </c>
      <c r="C6" s="44">
        <v>36410</v>
      </c>
      <c r="D6" s="43" t="s">
        <v>39</v>
      </c>
      <c r="E6" s="43" t="s">
        <v>24</v>
      </c>
      <c r="F6" s="45">
        <v>520000</v>
      </c>
      <c r="G6" s="45">
        <v>1800000000</v>
      </c>
    </row>
    <row r="7" spans="1:7" ht="16.5">
      <c r="A7" s="43" t="s">
        <v>82</v>
      </c>
      <c r="B7" s="43" t="s">
        <v>68</v>
      </c>
      <c r="C7" s="44">
        <v>36493</v>
      </c>
      <c r="D7" s="43" t="s">
        <v>18</v>
      </c>
      <c r="E7" s="43" t="s">
        <v>22</v>
      </c>
      <c r="F7" s="45">
        <v>320000</v>
      </c>
      <c r="G7" s="45">
        <v>1500000000</v>
      </c>
    </row>
    <row r="8" spans="1:7" ht="16.5">
      <c r="A8" s="43" t="s">
        <v>77</v>
      </c>
      <c r="B8" s="43" t="s">
        <v>63</v>
      </c>
      <c r="C8" s="44">
        <v>36503</v>
      </c>
      <c r="D8" s="43" t="s">
        <v>21</v>
      </c>
      <c r="E8" s="43" t="s">
        <v>22</v>
      </c>
      <c r="F8" s="45">
        <v>325000</v>
      </c>
      <c r="G8" s="45">
        <v>1200000000</v>
      </c>
    </row>
    <row r="9" spans="1:7" ht="16.5">
      <c r="A9" s="43" t="s">
        <v>84</v>
      </c>
      <c r="B9" s="43" t="s">
        <v>70</v>
      </c>
      <c r="C9" s="44">
        <v>36570</v>
      </c>
      <c r="D9" s="43" t="s">
        <v>39</v>
      </c>
      <c r="E9" s="43" t="s">
        <v>23</v>
      </c>
      <c r="F9" s="45">
        <v>380000</v>
      </c>
      <c r="G9" s="45">
        <v>1450000000</v>
      </c>
    </row>
    <row r="10" spans="1:7" ht="16.5">
      <c r="A10" s="43" t="s">
        <v>74</v>
      </c>
      <c r="B10" s="43" t="s">
        <v>60</v>
      </c>
      <c r="C10" s="44">
        <v>36633</v>
      </c>
      <c r="D10" s="43" t="s">
        <v>20</v>
      </c>
      <c r="E10" s="43" t="s">
        <v>19</v>
      </c>
      <c r="F10" s="45">
        <v>140000</v>
      </c>
      <c r="G10" s="45">
        <v>500000000</v>
      </c>
    </row>
    <row r="11" spans="1:7" ht="16.5">
      <c r="A11" s="43" t="s">
        <v>79</v>
      </c>
      <c r="B11" s="43" t="s">
        <v>65</v>
      </c>
      <c r="C11" s="44">
        <v>36882</v>
      </c>
      <c r="D11" s="43" t="s">
        <v>21</v>
      </c>
      <c r="E11" s="43" t="s">
        <v>23</v>
      </c>
      <c r="F11" s="45">
        <v>78000</v>
      </c>
      <c r="G11" s="45">
        <v>100000000</v>
      </c>
    </row>
    <row r="12" spans="1:7" ht="16.5">
      <c r="A12" s="43" t="s">
        <v>83</v>
      </c>
      <c r="B12" s="43" t="s">
        <v>69</v>
      </c>
      <c r="C12" s="44">
        <v>36954</v>
      </c>
      <c r="D12" s="43" t="s">
        <v>20</v>
      </c>
      <c r="E12" s="43" t="s">
        <v>23</v>
      </c>
      <c r="F12" s="45">
        <v>240000</v>
      </c>
      <c r="G12" s="45">
        <v>700000000</v>
      </c>
    </row>
    <row r="13" spans="1:7" ht="16.5">
      <c r="A13" s="43" t="s">
        <v>81</v>
      </c>
      <c r="B13" s="43" t="s">
        <v>67</v>
      </c>
      <c r="C13" s="44">
        <v>37000</v>
      </c>
      <c r="D13" s="43" t="s">
        <v>18</v>
      </c>
      <c r="E13" s="43" t="s">
        <v>19</v>
      </c>
      <c r="F13" s="45">
        <v>320000</v>
      </c>
      <c r="G13" s="45">
        <v>1400000000</v>
      </c>
    </row>
    <row r="14" spans="1:7" ht="16.5">
      <c r="A14" s="43" t="s">
        <v>76</v>
      </c>
      <c r="B14" s="43" t="s">
        <v>62</v>
      </c>
      <c r="C14" s="44">
        <v>37224</v>
      </c>
      <c r="D14" s="43" t="s">
        <v>18</v>
      </c>
      <c r="E14" s="43" t="s">
        <v>23</v>
      </c>
      <c r="F14" s="45">
        <v>700000</v>
      </c>
      <c r="G14" s="45">
        <v>2000000000</v>
      </c>
    </row>
    <row r="15" spans="1:7" ht="16.5">
      <c r="A15" s="43" t="s">
        <v>78</v>
      </c>
      <c r="B15" s="43" t="s">
        <v>64</v>
      </c>
      <c r="C15" s="44">
        <v>37229</v>
      </c>
      <c r="D15" s="43" t="s">
        <v>20</v>
      </c>
      <c r="E15" s="43" t="s">
        <v>22</v>
      </c>
      <c r="F15" s="45">
        <v>500000</v>
      </c>
      <c r="G15" s="45">
        <v>1850000000</v>
      </c>
    </row>
  </sheetData>
  <sortState xmlns:xlrd2="http://schemas.microsoft.com/office/spreadsheetml/2017/richdata2" ref="A2:G15">
    <sortCondition ref="C2"/>
  </sortState>
  <phoneticPr fontId="2" type="noConversion"/>
  <printOptions horizontalCentered="1" headings="1" gridLines="1"/>
  <pageMargins left="1" right="1" top="1" bottom="1" header="0.5" footer="0.5"/>
  <pageSetup paperSize="9" orientation="landscape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O29"/>
  <sheetViews>
    <sheetView workbookViewId="0">
      <selection activeCell="B1" sqref="B1"/>
    </sheetView>
  </sheetViews>
  <sheetFormatPr defaultColWidth="8.88671875" defaultRowHeight="13.5"/>
  <cols>
    <col min="1" max="1" width="1.88671875" style="1" customWidth="1"/>
    <col min="2" max="2" width="7.5546875" style="10" bestFit="1" customWidth="1"/>
    <col min="3" max="3" width="6.109375" style="10" customWidth="1"/>
    <col min="4" max="4" width="7.77734375" style="10" customWidth="1"/>
    <col min="5" max="5" width="5.88671875" style="10" customWidth="1"/>
    <col min="6" max="6" width="9.109375" style="1" bestFit="1" customWidth="1"/>
    <col min="7" max="7" width="19.109375" style="1" bestFit="1" customWidth="1"/>
    <col min="8" max="8" width="9.6640625" style="1" customWidth="1"/>
    <col min="9" max="9" width="8" style="1" bestFit="1" customWidth="1"/>
    <col min="10" max="10" width="9.88671875" style="1" bestFit="1" customWidth="1"/>
    <col min="11" max="11" width="11.6640625" style="1" bestFit="1" customWidth="1"/>
    <col min="12" max="15" width="9.6640625" style="1" customWidth="1"/>
    <col min="16" max="16384" width="8.88671875" style="1"/>
  </cols>
  <sheetData>
    <row r="1" spans="2:15">
      <c r="B1" s="10" t="s">
        <v>38</v>
      </c>
    </row>
    <row r="3" spans="2:15">
      <c r="B3" s="2" t="s">
        <v>57</v>
      </c>
      <c r="C3" s="2" t="s">
        <v>0</v>
      </c>
      <c r="D3" s="2" t="s">
        <v>41</v>
      </c>
      <c r="E3" s="2" t="s">
        <v>1</v>
      </c>
      <c r="F3" s="2" t="s">
        <v>27</v>
      </c>
      <c r="G3" s="2" t="s">
        <v>115</v>
      </c>
      <c r="H3" s="2" t="s">
        <v>2</v>
      </c>
      <c r="I3" s="7"/>
      <c r="J3" s="1" t="s">
        <v>58</v>
      </c>
      <c r="K3" s="10"/>
      <c r="L3" s="10"/>
      <c r="M3" s="10"/>
    </row>
    <row r="4" spans="2:15">
      <c r="B4" s="2" t="str">
        <f>LOOKUP(LEFT(D4,1),$K$5:$O$5,$K$4:$O$4)</f>
        <v>건강</v>
      </c>
      <c r="C4" s="2" t="s">
        <v>76</v>
      </c>
      <c r="D4" s="2" t="s">
        <v>3</v>
      </c>
      <c r="E4" s="2" t="s">
        <v>7</v>
      </c>
      <c r="F4" s="11">
        <v>120000</v>
      </c>
      <c r="G4" s="11" t="str">
        <f>_xlfn.CONCAT(REPT("●",QUOTIENT(F4,100000)),REPT("○",10-QUOTIENT(F4,100000)))</f>
        <v>●○○○○○○○○○</v>
      </c>
      <c r="H4" s="16" cm="1">
        <f t="array" ref="H4">fn할인액(F4)</f>
        <v>2400</v>
      </c>
      <c r="I4" s="17"/>
      <c r="J4" s="37" t="s">
        <v>104</v>
      </c>
      <c r="K4" s="37" t="s">
        <v>106</v>
      </c>
      <c r="L4" s="37" t="s">
        <v>108</v>
      </c>
      <c r="M4" s="37" t="s">
        <v>110</v>
      </c>
      <c r="N4" s="37" t="s">
        <v>111</v>
      </c>
      <c r="O4" s="37" t="s">
        <v>112</v>
      </c>
    </row>
    <row r="5" spans="2:15">
      <c r="B5" s="2" t="str">
        <f t="shared" ref="B5:B29" si="0">LOOKUP(LEFT(D5,1),$K$5:$O$5,$K$4:$O$4)</f>
        <v>상해</v>
      </c>
      <c r="C5" s="2" t="s">
        <v>89</v>
      </c>
      <c r="D5" s="2" t="s">
        <v>4</v>
      </c>
      <c r="E5" s="2" t="s">
        <v>8</v>
      </c>
      <c r="F5" s="11">
        <v>350000</v>
      </c>
      <c r="G5" s="11" t="str">
        <f t="shared" ref="G5:G29" si="1">_xlfn.CONCAT(REPT("●",QUOTIENT(F5,100000)),REPT("○",10-QUOTIENT(F5,100000)))</f>
        <v>●●●○○○○○○○</v>
      </c>
      <c r="H5" s="16" cm="1">
        <f t="array" ref="H5">fn할인액(F5)</f>
        <v>14000</v>
      </c>
      <c r="I5" s="17"/>
      <c r="J5" s="37" t="s">
        <v>41</v>
      </c>
      <c r="K5" s="37" t="s">
        <v>105</v>
      </c>
      <c r="L5" s="37" t="s">
        <v>107</v>
      </c>
      <c r="M5" s="37" t="s">
        <v>109</v>
      </c>
      <c r="N5" s="37" t="s">
        <v>113</v>
      </c>
      <c r="O5" s="37" t="s">
        <v>114</v>
      </c>
    </row>
    <row r="6" spans="2:15">
      <c r="B6" s="2" t="str">
        <f t="shared" si="0"/>
        <v>저축</v>
      </c>
      <c r="C6" s="2" t="s">
        <v>77</v>
      </c>
      <c r="D6" s="2" t="s">
        <v>42</v>
      </c>
      <c r="E6" s="2" t="s">
        <v>5</v>
      </c>
      <c r="F6" s="11">
        <v>105000</v>
      </c>
      <c r="G6" s="11" t="str">
        <f t="shared" si="1"/>
        <v>●○○○○○○○○○</v>
      </c>
      <c r="H6" s="16" cm="1">
        <f t="array" ref="H6">fn할인액(F6)</f>
        <v>2100</v>
      </c>
      <c r="I6" s="17"/>
    </row>
    <row r="7" spans="2:15">
      <c r="B7" s="2" t="str">
        <f t="shared" si="0"/>
        <v>건강</v>
      </c>
      <c r="C7" s="2" t="s">
        <v>90</v>
      </c>
      <c r="D7" s="2" t="s">
        <v>3</v>
      </c>
      <c r="E7" s="2" t="s">
        <v>6</v>
      </c>
      <c r="F7" s="11">
        <v>35000</v>
      </c>
      <c r="G7" s="11" t="str">
        <f t="shared" si="1"/>
        <v>○○○○○○○○○○</v>
      </c>
      <c r="H7" s="16" cm="1">
        <f t="array" ref="H7">fn할인액(F7)</f>
        <v>700</v>
      </c>
      <c r="I7" s="17"/>
      <c r="J7" s="1" t="s">
        <v>116</v>
      </c>
    </row>
    <row r="8" spans="2:15">
      <c r="B8" s="2" t="str">
        <f t="shared" si="0"/>
        <v>연금</v>
      </c>
      <c r="C8" s="2" t="s">
        <v>78</v>
      </c>
      <c r="D8" s="2" t="s">
        <v>43</v>
      </c>
      <c r="E8" s="2" t="s">
        <v>5</v>
      </c>
      <c r="F8" s="11">
        <v>180000</v>
      </c>
      <c r="G8" s="11" t="str">
        <f t="shared" si="1"/>
        <v>●○○○○○○○○○</v>
      </c>
      <c r="H8" s="16" cm="1">
        <f t="array" ref="H8">fn할인액(F8)</f>
        <v>3600</v>
      </c>
      <c r="I8" s="17"/>
      <c r="J8" s="2" t="s">
        <v>1</v>
      </c>
      <c r="K8" s="2" t="s">
        <v>56</v>
      </c>
    </row>
    <row r="9" spans="2:15">
      <c r="B9" s="2" t="str">
        <f t="shared" si="0"/>
        <v>상해</v>
      </c>
      <c r="C9" s="2" t="s">
        <v>91</v>
      </c>
      <c r="D9" s="2" t="s">
        <v>4</v>
      </c>
      <c r="E9" s="2" t="s">
        <v>9</v>
      </c>
      <c r="F9" s="11">
        <v>75000</v>
      </c>
      <c r="G9" s="11" t="str">
        <f t="shared" si="1"/>
        <v>○○○○○○○○○○</v>
      </c>
      <c r="H9" s="16" cm="1">
        <f t="array" ref="H9">fn할인액(F9)</f>
        <v>1500</v>
      </c>
      <c r="I9" s="17"/>
      <c r="J9" s="2" t="s">
        <v>7</v>
      </c>
      <c r="K9" s="38">
        <f t="array" ref="K9">ROUND(AVERAGE(IF($E$4:$E$29=J9,$F$4:$F$29)),0)</f>
        <v>385000</v>
      </c>
    </row>
    <row r="10" spans="2:15">
      <c r="B10" s="2" t="str">
        <f t="shared" si="0"/>
        <v>저축</v>
      </c>
      <c r="C10" s="2" t="s">
        <v>79</v>
      </c>
      <c r="D10" s="2" t="s">
        <v>42</v>
      </c>
      <c r="E10" s="2" t="s">
        <v>6</v>
      </c>
      <c r="F10" s="11">
        <v>500000</v>
      </c>
      <c r="G10" s="11" t="str">
        <f t="shared" si="1"/>
        <v>●●●●●○○○○○</v>
      </c>
      <c r="H10" s="16" cm="1">
        <f t="array" ref="H10">fn할인액(F10)</f>
        <v>25000</v>
      </c>
      <c r="I10" s="17"/>
      <c r="J10" s="2" t="s">
        <v>8</v>
      </c>
      <c r="K10" s="38">
        <f t="array" ref="K10">ROUND(AVERAGE(IF($E$4:$E$29=J10,$F$4:$F$29)),0)</f>
        <v>371000</v>
      </c>
    </row>
    <row r="11" spans="2:15">
      <c r="B11" s="2" t="str">
        <f t="shared" si="0"/>
        <v>저축</v>
      </c>
      <c r="C11" s="2" t="s">
        <v>92</v>
      </c>
      <c r="D11" s="2" t="s">
        <v>42</v>
      </c>
      <c r="E11" s="2" t="s">
        <v>7</v>
      </c>
      <c r="F11" s="11">
        <v>1000000</v>
      </c>
      <c r="G11" s="11" t="str">
        <f t="shared" si="1"/>
        <v>●●●●●●●●●●</v>
      </c>
      <c r="H11" s="16" cm="1">
        <f t="array" ref="H11">fn할인액(F11)</f>
        <v>50000</v>
      </c>
      <c r="I11" s="17"/>
      <c r="J11" s="2" t="s">
        <v>6</v>
      </c>
      <c r="K11" s="38">
        <f t="array" ref="K11">ROUND(AVERAGE(IF($E$4:$E$29=J11,$F$4:$F$29)),0)</f>
        <v>295000</v>
      </c>
    </row>
    <row r="12" spans="2:15">
      <c r="B12" s="2" t="str">
        <f t="shared" si="0"/>
        <v>상해</v>
      </c>
      <c r="C12" s="2" t="s">
        <v>80</v>
      </c>
      <c r="D12" s="2" t="s">
        <v>4</v>
      </c>
      <c r="E12" s="2" t="s">
        <v>7</v>
      </c>
      <c r="F12" s="11">
        <v>35000</v>
      </c>
      <c r="G12" s="11" t="str">
        <f t="shared" si="1"/>
        <v>○○○○○○○○○○</v>
      </c>
      <c r="H12" s="16" cm="1">
        <f t="array" ref="H12">fn할인액(F12)</f>
        <v>700</v>
      </c>
      <c r="I12" s="17"/>
      <c r="J12" s="2" t="s">
        <v>9</v>
      </c>
      <c r="K12" s="38">
        <f t="array" ref="K12">ROUND(AVERAGE(IF($E$4:$E$29=J12,$F$4:$F$29)),0)</f>
        <v>280500</v>
      </c>
    </row>
    <row r="13" spans="2:15">
      <c r="B13" s="2" t="str">
        <f t="shared" si="0"/>
        <v>건강</v>
      </c>
      <c r="C13" s="2" t="s">
        <v>81</v>
      </c>
      <c r="D13" s="2" t="s">
        <v>3</v>
      </c>
      <c r="E13" s="2" t="s">
        <v>5</v>
      </c>
      <c r="F13" s="11">
        <v>189000</v>
      </c>
      <c r="G13" s="11" t="str">
        <f t="shared" si="1"/>
        <v>●○○○○○○○○○</v>
      </c>
      <c r="H13" s="16" cm="1">
        <f t="array" ref="H13">fn할인액(F13)</f>
        <v>3780</v>
      </c>
      <c r="I13" s="17"/>
      <c r="J13" s="2" t="s">
        <v>5</v>
      </c>
      <c r="K13" s="38">
        <f t="array" ref="K13">ROUND(AVERAGE(IF($E$4:$E$29=J13,$F$4:$F$29)),0)</f>
        <v>206286</v>
      </c>
    </row>
    <row r="14" spans="2:15">
      <c r="B14" s="2" t="str">
        <f t="shared" si="0"/>
        <v>상해</v>
      </c>
      <c r="C14" s="2" t="s">
        <v>93</v>
      </c>
      <c r="D14" s="2" t="s">
        <v>4</v>
      </c>
      <c r="E14" s="2" t="s">
        <v>5</v>
      </c>
      <c r="F14" s="11">
        <v>270000</v>
      </c>
      <c r="G14" s="11" t="str">
        <f t="shared" si="1"/>
        <v>●●○○○○○○○○</v>
      </c>
      <c r="H14" s="16" cm="1">
        <f t="array" ref="H14">fn할인액(F14)</f>
        <v>8100</v>
      </c>
      <c r="I14" s="17"/>
      <c r="J14" s="10"/>
      <c r="K14" s="10"/>
    </row>
    <row r="15" spans="2:15">
      <c r="B15" s="2" t="str">
        <f t="shared" si="0"/>
        <v>연금</v>
      </c>
      <c r="C15" s="2" t="s">
        <v>82</v>
      </c>
      <c r="D15" s="2" t="s">
        <v>43</v>
      </c>
      <c r="E15" s="2" t="s">
        <v>7</v>
      </c>
      <c r="F15" s="11">
        <v>520000</v>
      </c>
      <c r="G15" s="11" t="str">
        <f t="shared" si="1"/>
        <v>●●●●●○○○○○</v>
      </c>
      <c r="H15" s="16" cm="1">
        <f t="array" ref="H15">fn할인액(F15)</f>
        <v>26000</v>
      </c>
      <c r="I15" s="17"/>
      <c r="J15" s="8" t="s">
        <v>59</v>
      </c>
    </row>
    <row r="16" spans="2:15">
      <c r="B16" s="2" t="str">
        <f t="shared" si="0"/>
        <v>저축</v>
      </c>
      <c r="C16" s="2" t="s">
        <v>94</v>
      </c>
      <c r="D16" s="2" t="s">
        <v>42</v>
      </c>
      <c r="E16" s="2" t="s">
        <v>8</v>
      </c>
      <c r="F16" s="11">
        <v>400000</v>
      </c>
      <c r="G16" s="11" t="str">
        <f t="shared" si="1"/>
        <v>●●●●○○○○○○</v>
      </c>
      <c r="H16" s="16" cm="1">
        <f t="array" ref="H16">fn할인액(F16)</f>
        <v>20000</v>
      </c>
      <c r="I16" s="17"/>
      <c r="J16" s="9"/>
      <c r="K16" s="2" t="s">
        <v>120</v>
      </c>
    </row>
    <row r="17" spans="2:11">
      <c r="B17" s="2" t="str">
        <f t="shared" si="0"/>
        <v>건강</v>
      </c>
      <c r="C17" s="2" t="s">
        <v>83</v>
      </c>
      <c r="D17" s="2" t="s">
        <v>3</v>
      </c>
      <c r="E17" s="2" t="s">
        <v>8</v>
      </c>
      <c r="F17" s="11">
        <v>325000</v>
      </c>
      <c r="G17" s="11" t="str">
        <f t="shared" si="1"/>
        <v>●●●○○○○○○○</v>
      </c>
      <c r="H17" s="16" cm="1">
        <f t="array" ref="H17">fn할인액(F17)</f>
        <v>13000</v>
      </c>
      <c r="I17" s="17"/>
      <c r="J17" s="2" t="s">
        <v>117</v>
      </c>
      <c r="K17" s="22" t="str">
        <f t="array" ref="K17">INDEX($C$4:$C$29,MATCH(LARGE(($E$4:$E$29=J17)*($F$4:$F$29),1),($E$4:$E$29=J17)*($F$4:$F$29),0))</f>
        <v>손양희</v>
      </c>
    </row>
    <row r="18" spans="2:11">
      <c r="B18" s="2" t="str">
        <f t="shared" si="0"/>
        <v>연금</v>
      </c>
      <c r="C18" s="2" t="s">
        <v>95</v>
      </c>
      <c r="D18" s="2" t="s">
        <v>43</v>
      </c>
      <c r="E18" s="2" t="s">
        <v>5</v>
      </c>
      <c r="F18" s="11">
        <v>140000</v>
      </c>
      <c r="G18" s="11" t="str">
        <f t="shared" si="1"/>
        <v>●○○○○○○○○○</v>
      </c>
      <c r="H18" s="16" cm="1">
        <f t="array" ref="H18">fn할인액(F18)</f>
        <v>2800</v>
      </c>
      <c r="I18" s="17"/>
      <c r="J18" s="2" t="s">
        <v>8</v>
      </c>
      <c r="K18" s="22" t="str">
        <f t="array" ref="K18">INDEX($C$4:$C$29,MATCH(LARGE(($E$4:$E$29=$J18)*($F$4:$F$29),1),($E$4:$E$29=$J18)*($F$4:$F$29),0))</f>
        <v>정송훈</v>
      </c>
    </row>
    <row r="19" spans="2:11">
      <c r="B19" s="2" t="str">
        <f t="shared" si="0"/>
        <v>건강</v>
      </c>
      <c r="C19" s="2" t="s">
        <v>96</v>
      </c>
      <c r="D19" s="2" t="s">
        <v>3</v>
      </c>
      <c r="E19" s="2" t="s">
        <v>9</v>
      </c>
      <c r="F19" s="11">
        <v>78000</v>
      </c>
      <c r="G19" s="11" t="str">
        <f t="shared" si="1"/>
        <v>○○○○○○○○○○</v>
      </c>
      <c r="H19" s="16" cm="1">
        <f t="array" ref="H19">fn할인액(F19)</f>
        <v>1560</v>
      </c>
      <c r="I19" s="17"/>
      <c r="J19" s="2" t="s">
        <v>118</v>
      </c>
      <c r="K19" s="22" t="str">
        <f t="array" ref="K19">INDEX($C$4:$C$29,MATCH(LARGE(($E$4:$E$29=$J19)*($F$4:$F$29),1),($E$4:$E$29=$J19)*($F$4:$F$29),0))</f>
        <v>이재겸</v>
      </c>
    </row>
    <row r="20" spans="2:11">
      <c r="B20" s="2" t="str">
        <f t="shared" si="0"/>
        <v>연금</v>
      </c>
      <c r="C20" s="2" t="s">
        <v>97</v>
      </c>
      <c r="D20" s="2" t="s">
        <v>43</v>
      </c>
      <c r="E20" s="2" t="s">
        <v>9</v>
      </c>
      <c r="F20" s="11">
        <v>240000</v>
      </c>
      <c r="G20" s="11" t="str">
        <f t="shared" si="1"/>
        <v>●●○○○○○○○○</v>
      </c>
      <c r="H20" s="16" cm="1">
        <f t="array" ref="H20">fn할인액(F20)</f>
        <v>7200</v>
      </c>
      <c r="I20" s="17"/>
      <c r="J20" s="2" t="s">
        <v>119</v>
      </c>
      <c r="K20" s="22" t="str">
        <f t="array" ref="K20">INDEX($C$4:$C$29,MATCH(LARGE(($E$4:$E$29=$J20)*($F$4:$F$29),1),($E$4:$E$29=$J20)*($F$4:$F$29),0))</f>
        <v>서의훈</v>
      </c>
    </row>
    <row r="21" spans="2:11">
      <c r="B21" s="2" t="str">
        <f t="shared" si="0"/>
        <v>변액</v>
      </c>
      <c r="C21" s="2" t="s">
        <v>98</v>
      </c>
      <c r="D21" s="2" t="s">
        <v>10</v>
      </c>
      <c r="E21" s="2" t="s">
        <v>5</v>
      </c>
      <c r="F21" s="11">
        <v>320000</v>
      </c>
      <c r="G21" s="11" t="str">
        <f t="shared" si="1"/>
        <v>●●●○○○○○○○</v>
      </c>
      <c r="H21" s="16" cm="1">
        <f t="array" ref="H21">fn할인액(F21)</f>
        <v>12800</v>
      </c>
      <c r="I21" s="17"/>
    </row>
    <row r="22" spans="2:11">
      <c r="B22" s="2" t="str">
        <f t="shared" si="0"/>
        <v>변액</v>
      </c>
      <c r="C22" s="2" t="s">
        <v>84</v>
      </c>
      <c r="D22" s="2" t="s">
        <v>10</v>
      </c>
      <c r="E22" s="2" t="s">
        <v>9</v>
      </c>
      <c r="F22" s="11">
        <v>700000</v>
      </c>
      <c r="G22" s="11" t="str">
        <f t="shared" si="1"/>
        <v>●●●●●●●○○○</v>
      </c>
      <c r="H22" s="16" cm="1">
        <f t="array" ref="H22">fn할인액(F22)</f>
        <v>35000</v>
      </c>
      <c r="I22" s="17"/>
    </row>
    <row r="23" spans="2:11">
      <c r="B23" s="2" t="str">
        <f t="shared" si="0"/>
        <v>연금</v>
      </c>
      <c r="C23" s="2" t="s">
        <v>99</v>
      </c>
      <c r="D23" s="2" t="s">
        <v>43</v>
      </c>
      <c r="E23" s="2" t="s">
        <v>8</v>
      </c>
      <c r="F23" s="11">
        <v>500000</v>
      </c>
      <c r="G23" s="11" t="str">
        <f t="shared" si="1"/>
        <v>●●●●●○○○○○</v>
      </c>
      <c r="H23" s="16" cm="1">
        <f t="array" ref="H23">fn할인액(F23)</f>
        <v>25000</v>
      </c>
      <c r="I23" s="17"/>
    </row>
    <row r="24" spans="2:11">
      <c r="B24" s="2" t="str">
        <f t="shared" si="0"/>
        <v>변액</v>
      </c>
      <c r="C24" s="2" t="s">
        <v>100</v>
      </c>
      <c r="D24" s="2" t="s">
        <v>10</v>
      </c>
      <c r="E24" s="2" t="s">
        <v>6</v>
      </c>
      <c r="F24" s="11">
        <v>350000</v>
      </c>
      <c r="G24" s="11" t="str">
        <f t="shared" si="1"/>
        <v>●●●○○○○○○○</v>
      </c>
      <c r="H24" s="16" cm="1">
        <f t="array" ref="H24">fn할인액(F24)</f>
        <v>14000</v>
      </c>
      <c r="I24" s="17"/>
    </row>
    <row r="25" spans="2:11">
      <c r="B25" s="2" t="str">
        <f t="shared" si="0"/>
        <v>변액</v>
      </c>
      <c r="C25" s="2" t="s">
        <v>85</v>
      </c>
      <c r="D25" s="2" t="s">
        <v>10</v>
      </c>
      <c r="E25" s="2" t="s">
        <v>7</v>
      </c>
      <c r="F25" s="11">
        <v>250000</v>
      </c>
      <c r="G25" s="11" t="str">
        <f t="shared" si="1"/>
        <v>●●○○○○○○○○</v>
      </c>
      <c r="H25" s="16" cm="1">
        <f t="array" ref="H25">fn할인액(F25)</f>
        <v>7500</v>
      </c>
      <c r="I25" s="17"/>
    </row>
    <row r="26" spans="2:11">
      <c r="B26" s="2" t="str">
        <f t="shared" si="0"/>
        <v>변액</v>
      </c>
      <c r="C26" s="2" t="s">
        <v>101</v>
      </c>
      <c r="D26" s="2" t="s">
        <v>10</v>
      </c>
      <c r="E26" s="2" t="s">
        <v>8</v>
      </c>
      <c r="F26" s="11">
        <v>280000</v>
      </c>
      <c r="G26" s="11" t="str">
        <f t="shared" si="1"/>
        <v>●●○○○○○○○○</v>
      </c>
      <c r="H26" s="16" cm="1">
        <f t="array" ref="H26">fn할인액(F26)</f>
        <v>8400</v>
      </c>
      <c r="I26" s="17"/>
    </row>
    <row r="27" spans="2:11">
      <c r="B27" s="2" t="str">
        <f t="shared" si="0"/>
        <v>연금</v>
      </c>
      <c r="C27" s="2" t="s">
        <v>86</v>
      </c>
      <c r="D27" s="2" t="s">
        <v>43</v>
      </c>
      <c r="E27" s="2" t="s">
        <v>9</v>
      </c>
      <c r="F27" s="11">
        <v>380000</v>
      </c>
      <c r="G27" s="11" t="str">
        <f t="shared" si="1"/>
        <v>●●●○○○○○○○</v>
      </c>
      <c r="H27" s="16" cm="1">
        <f t="array" ref="H27">fn할인액(F27)</f>
        <v>15200</v>
      </c>
      <c r="I27" s="17"/>
    </row>
    <row r="28" spans="2:11" ht="12.75" customHeight="1">
      <c r="B28" s="2" t="str">
        <f t="shared" si="0"/>
        <v>변액</v>
      </c>
      <c r="C28" s="2" t="s">
        <v>87</v>
      </c>
      <c r="D28" s="2" t="s">
        <v>10</v>
      </c>
      <c r="E28" s="2" t="s">
        <v>5</v>
      </c>
      <c r="F28" s="11">
        <v>240000</v>
      </c>
      <c r="G28" s="11" t="str">
        <f t="shared" si="1"/>
        <v>●●○○○○○○○○</v>
      </c>
      <c r="H28" s="16" cm="1">
        <f t="array" ref="H28">fn할인액(F28)</f>
        <v>7200</v>
      </c>
      <c r="I28" s="17"/>
    </row>
    <row r="29" spans="2:11">
      <c r="B29" s="2" t="str">
        <f t="shared" si="0"/>
        <v>저축</v>
      </c>
      <c r="C29" s="2" t="s">
        <v>88</v>
      </c>
      <c r="D29" s="2" t="s">
        <v>42</v>
      </c>
      <c r="E29" s="2" t="s">
        <v>9</v>
      </c>
      <c r="F29" s="11">
        <v>210000</v>
      </c>
      <c r="G29" s="11" t="str">
        <f t="shared" si="1"/>
        <v>●●○○○○○○○○</v>
      </c>
      <c r="H29" s="16" cm="1">
        <f t="array" ref="H29">fn할인액(F29)</f>
        <v>6300</v>
      </c>
      <c r="I29" s="17"/>
    </row>
  </sheetData>
  <phoneticPr fontId="2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H3"/>
  <sheetViews>
    <sheetView workbookViewId="0">
      <selection activeCell="J23" sqref="J23"/>
    </sheetView>
  </sheetViews>
  <sheetFormatPr defaultRowHeight="13.5"/>
  <cols>
    <col min="1" max="1" width="9.5546875" customWidth="1"/>
    <col min="2" max="2" width="13.109375" customWidth="1"/>
    <col min="3" max="3" width="11.33203125" customWidth="1"/>
    <col min="4" max="5" width="9.5546875" customWidth="1"/>
    <col min="6" max="6" width="11.33203125" customWidth="1"/>
    <col min="7" max="7" width="9.5546875" customWidth="1"/>
    <col min="8" max="8" width="11.6640625" bestFit="1" customWidth="1"/>
  </cols>
  <sheetData>
    <row r="1" spans="1:8">
      <c r="A1" t="s">
        <v>12</v>
      </c>
      <c r="B1" t="s">
        <v>13</v>
      </c>
      <c r="C1" t="s">
        <v>14</v>
      </c>
      <c r="D1" t="s">
        <v>102</v>
      </c>
      <c r="E1" t="s">
        <v>15</v>
      </c>
      <c r="F1" t="s">
        <v>127</v>
      </c>
      <c r="G1" t="s">
        <v>16</v>
      </c>
      <c r="H1" t="s">
        <v>17</v>
      </c>
    </row>
    <row r="2" spans="1:8">
      <c r="A2" t="s">
        <v>128</v>
      </c>
      <c r="B2" t="s">
        <v>129</v>
      </c>
      <c r="C2" s="47">
        <v>37251</v>
      </c>
      <c r="D2" t="s">
        <v>10</v>
      </c>
      <c r="E2" t="s">
        <v>18</v>
      </c>
      <c r="F2" t="s">
        <v>23</v>
      </c>
      <c r="G2">
        <v>85000</v>
      </c>
      <c r="H2">
        <v>850000000</v>
      </c>
    </row>
    <row r="3" spans="1:8">
      <c r="A3" t="s">
        <v>130</v>
      </c>
      <c r="B3" t="s">
        <v>131</v>
      </c>
      <c r="C3" s="47">
        <v>37224</v>
      </c>
      <c r="D3" t="s">
        <v>10</v>
      </c>
      <c r="E3" t="s">
        <v>18</v>
      </c>
      <c r="F3" t="s">
        <v>23</v>
      </c>
      <c r="G3">
        <v>700000</v>
      </c>
      <c r="H3">
        <v>2000000000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2:H19"/>
  <sheetViews>
    <sheetView workbookViewId="0">
      <selection activeCell="G13" sqref="G13"/>
    </sheetView>
  </sheetViews>
  <sheetFormatPr defaultColWidth="8.77734375" defaultRowHeight="13.5"/>
  <cols>
    <col min="1" max="1" width="8.77734375" style="1"/>
    <col min="2" max="2" width="15.33203125" style="1" bestFit="1" customWidth="1"/>
    <col min="3" max="3" width="13" style="10" bestFit="1" customWidth="1"/>
    <col min="4" max="4" width="13" style="10" customWidth="1"/>
    <col min="5" max="7" width="13" style="1" customWidth="1"/>
    <col min="8" max="8" width="12.88671875" style="1" bestFit="1" customWidth="1"/>
    <col min="9" max="16384" width="8.77734375" style="1"/>
  </cols>
  <sheetData>
    <row r="2" spans="2:8" ht="15">
      <c r="B2" s="39" t="s">
        <v>124</v>
      </c>
      <c r="C2" s="39" t="s">
        <v>127</v>
      </c>
      <c r="D2"/>
      <c r="E2"/>
      <c r="F2"/>
      <c r="G2"/>
      <c r="H2"/>
    </row>
    <row r="3" spans="2:8" ht="15">
      <c r="B3" s="39" t="s">
        <v>15</v>
      </c>
      <c r="C3" t="s">
        <v>25</v>
      </c>
      <c r="D3" t="s">
        <v>24</v>
      </c>
      <c r="E3" t="s">
        <v>23</v>
      </c>
      <c r="F3" t="s">
        <v>22</v>
      </c>
      <c r="G3" t="s">
        <v>19</v>
      </c>
      <c r="H3" t="s">
        <v>123</v>
      </c>
    </row>
    <row r="4" spans="2:8" ht="15">
      <c r="B4" t="s">
        <v>21</v>
      </c>
      <c r="C4" s="40">
        <v>35000</v>
      </c>
      <c r="D4" s="40">
        <v>120000</v>
      </c>
      <c r="E4" s="40">
        <v>78000</v>
      </c>
      <c r="F4" s="40">
        <v>325000</v>
      </c>
      <c r="G4" s="40">
        <v>189000</v>
      </c>
      <c r="H4" s="40">
        <v>747000</v>
      </c>
    </row>
    <row r="5" spans="2:8" ht="15">
      <c r="B5" t="s">
        <v>18</v>
      </c>
      <c r="C5" s="40">
        <v>690000</v>
      </c>
      <c r="D5" s="40">
        <v>450000</v>
      </c>
      <c r="E5" s="40">
        <v>785000</v>
      </c>
      <c r="F5" s="40">
        <v>600000</v>
      </c>
      <c r="G5" s="40">
        <v>560000</v>
      </c>
      <c r="H5" s="40">
        <v>3085000</v>
      </c>
    </row>
    <row r="6" spans="2:8" ht="15">
      <c r="B6" t="s">
        <v>121</v>
      </c>
      <c r="C6" s="40">
        <v>150000</v>
      </c>
      <c r="D6" s="40">
        <v>35000</v>
      </c>
      <c r="E6" s="40">
        <v>75000</v>
      </c>
      <c r="F6" s="40" t="s">
        <v>138</v>
      </c>
      <c r="G6" s="40">
        <v>270000</v>
      </c>
      <c r="H6" s="40">
        <v>530000</v>
      </c>
    </row>
    <row r="7" spans="2:8" ht="15">
      <c r="B7" t="s">
        <v>20</v>
      </c>
      <c r="C7" s="40">
        <v>1200000</v>
      </c>
      <c r="D7" s="40">
        <v>520000</v>
      </c>
      <c r="E7" s="40">
        <v>620000</v>
      </c>
      <c r="F7" s="40">
        <v>500000</v>
      </c>
      <c r="G7" s="40">
        <v>320000</v>
      </c>
      <c r="H7" s="40">
        <v>3160000</v>
      </c>
    </row>
    <row r="8" spans="2:8" ht="15">
      <c r="B8" t="s">
        <v>122</v>
      </c>
      <c r="C8" s="40">
        <v>82500</v>
      </c>
      <c r="D8" s="40">
        <v>1000000</v>
      </c>
      <c r="E8" s="40">
        <v>210000</v>
      </c>
      <c r="F8" s="40">
        <v>400000</v>
      </c>
      <c r="G8" s="40">
        <v>105000</v>
      </c>
      <c r="H8" s="40">
        <v>1797500</v>
      </c>
    </row>
    <row r="9" spans="2:8" ht="15">
      <c r="B9" t="s">
        <v>123</v>
      </c>
      <c r="C9" s="40">
        <v>2157500</v>
      </c>
      <c r="D9" s="40">
        <v>2125000</v>
      </c>
      <c r="E9" s="40">
        <v>1768000</v>
      </c>
      <c r="F9" s="40">
        <v>1825000</v>
      </c>
      <c r="G9" s="40">
        <v>1444000</v>
      </c>
      <c r="H9" s="40">
        <v>9319500</v>
      </c>
    </row>
    <row r="10" spans="2:8" ht="15">
      <c r="B10"/>
      <c r="C10"/>
      <c r="D10"/>
    </row>
    <row r="11" spans="2:8" ht="15">
      <c r="B11"/>
      <c r="C11"/>
      <c r="D11"/>
    </row>
    <row r="12" spans="2:8" ht="15">
      <c r="B12"/>
      <c r="C12"/>
      <c r="D12"/>
    </row>
    <row r="13" spans="2:8" ht="15">
      <c r="B13"/>
      <c r="C13"/>
      <c r="D13"/>
    </row>
    <row r="14" spans="2:8" ht="15">
      <c r="B14"/>
      <c r="C14"/>
      <c r="D14"/>
    </row>
    <row r="15" spans="2:8" ht="15">
      <c r="B15"/>
      <c r="C15"/>
      <c r="D15"/>
    </row>
    <row r="16" spans="2:8" ht="15">
      <c r="B16"/>
      <c r="C16"/>
      <c r="D16"/>
    </row>
    <row r="17" spans="2:4" ht="15">
      <c r="B17"/>
      <c r="C17"/>
      <c r="D17"/>
    </row>
    <row r="18" spans="2:4" ht="15">
      <c r="B18"/>
      <c r="C18"/>
      <c r="D18"/>
    </row>
    <row r="19" spans="2:4" ht="15">
      <c r="B19"/>
      <c r="C19"/>
      <c r="D19"/>
    </row>
  </sheetData>
  <phoneticPr fontId="2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 filterMode="1"/>
  <dimension ref="A1:D17"/>
  <sheetViews>
    <sheetView tabSelected="1" zoomScaleNormal="100" workbookViewId="0">
      <selection activeCell="G20" sqref="G20"/>
    </sheetView>
  </sheetViews>
  <sheetFormatPr defaultRowHeight="13.5"/>
  <cols>
    <col min="1" max="1" width="8.21875" bestFit="1" customWidth="1"/>
    <col min="2" max="2" width="12.77734375" bestFit="1" customWidth="1"/>
    <col min="3" max="3" width="7.109375" bestFit="1" customWidth="1"/>
  </cols>
  <sheetData>
    <row r="1" spans="1:4" ht="15">
      <c r="A1" s="1" t="s">
        <v>38</v>
      </c>
      <c r="B1" s="1"/>
      <c r="C1" s="1"/>
      <c r="D1" s="1"/>
    </row>
    <row r="2" spans="1:4" ht="15">
      <c r="A2" s="1"/>
      <c r="B2" s="1"/>
      <c r="C2" s="1"/>
      <c r="D2" s="1"/>
    </row>
    <row r="3" spans="1:4" ht="15">
      <c r="A3" s="15" t="s">
        <v>12</v>
      </c>
      <c r="B3" s="15" t="s">
        <v>13</v>
      </c>
      <c r="C3" s="15" t="s">
        <v>132</v>
      </c>
      <c r="D3" s="15" t="s">
        <v>133</v>
      </c>
    </row>
    <row r="4" spans="1:4" ht="15" hidden="1">
      <c r="A4" s="2" t="s">
        <v>74</v>
      </c>
      <c r="B4" s="2" t="s">
        <v>60</v>
      </c>
      <c r="C4" s="6">
        <v>64</v>
      </c>
      <c r="D4" s="6">
        <v>12</v>
      </c>
    </row>
    <row r="5" spans="1:4" ht="15" hidden="1">
      <c r="A5" s="2" t="s">
        <v>76</v>
      </c>
      <c r="B5" s="2" t="s">
        <v>62</v>
      </c>
      <c r="C5" s="6">
        <v>70</v>
      </c>
      <c r="D5" s="6">
        <v>12</v>
      </c>
    </row>
    <row r="6" spans="1:4" ht="15">
      <c r="A6" s="2" t="s">
        <v>87</v>
      </c>
      <c r="B6" s="2" t="s">
        <v>73</v>
      </c>
      <c r="C6" s="6">
        <v>88</v>
      </c>
      <c r="D6" s="6">
        <v>12</v>
      </c>
    </row>
    <row r="7" spans="1:4" ht="15">
      <c r="A7" s="2" t="s">
        <v>77</v>
      </c>
      <c r="B7" s="2" t="s">
        <v>63</v>
      </c>
      <c r="C7" s="6">
        <v>88</v>
      </c>
      <c r="D7" s="6">
        <v>3</v>
      </c>
    </row>
    <row r="8" spans="1:4" ht="15">
      <c r="A8" s="2" t="s">
        <v>78</v>
      </c>
      <c r="B8" s="2" t="s">
        <v>64</v>
      </c>
      <c r="C8" s="6">
        <v>88</v>
      </c>
      <c r="D8" s="6">
        <v>5</v>
      </c>
    </row>
    <row r="9" spans="1:4" ht="15" hidden="1">
      <c r="A9" s="2" t="s">
        <v>79</v>
      </c>
      <c r="B9" s="2" t="s">
        <v>65</v>
      </c>
      <c r="C9" s="6">
        <v>77</v>
      </c>
      <c r="D9" s="6">
        <v>11</v>
      </c>
    </row>
    <row r="10" spans="1:4" ht="15" hidden="1">
      <c r="A10" s="2" t="s">
        <v>75</v>
      </c>
      <c r="B10" s="2" t="s">
        <v>61</v>
      </c>
      <c r="C10" s="6">
        <v>73</v>
      </c>
      <c r="D10" s="6">
        <v>2</v>
      </c>
    </row>
    <row r="11" spans="1:4" ht="15">
      <c r="A11" s="2" t="s">
        <v>80</v>
      </c>
      <c r="B11" s="2" t="s">
        <v>66</v>
      </c>
      <c r="C11" s="6">
        <v>84</v>
      </c>
      <c r="D11" s="6">
        <v>1</v>
      </c>
    </row>
    <row r="12" spans="1:4" ht="15" hidden="1">
      <c r="A12" s="2" t="s">
        <v>81</v>
      </c>
      <c r="B12" s="2" t="s">
        <v>67</v>
      </c>
      <c r="C12" s="6">
        <v>44</v>
      </c>
      <c r="D12" s="6">
        <v>5</v>
      </c>
    </row>
    <row r="13" spans="1:4" ht="15">
      <c r="A13" s="2" t="s">
        <v>82</v>
      </c>
      <c r="B13" s="2" t="s">
        <v>68</v>
      </c>
      <c r="C13" s="6">
        <v>80</v>
      </c>
      <c r="D13" s="6">
        <v>10</v>
      </c>
    </row>
    <row r="14" spans="1:4" ht="15" hidden="1">
      <c r="A14" s="2" t="s">
        <v>83</v>
      </c>
      <c r="B14" s="2" t="s">
        <v>69</v>
      </c>
      <c r="C14" s="6">
        <v>79</v>
      </c>
      <c r="D14" s="6">
        <v>10</v>
      </c>
    </row>
    <row r="15" spans="1:4" ht="15" hidden="1">
      <c r="A15" s="2" t="s">
        <v>84</v>
      </c>
      <c r="B15" s="2" t="s">
        <v>70</v>
      </c>
      <c r="C15" s="6">
        <v>78</v>
      </c>
      <c r="D15" s="6">
        <v>9</v>
      </c>
    </row>
    <row r="16" spans="1:4" ht="15" hidden="1">
      <c r="A16" s="2" t="s">
        <v>85</v>
      </c>
      <c r="B16" s="2" t="s">
        <v>71</v>
      </c>
      <c r="C16" s="6">
        <v>77</v>
      </c>
      <c r="D16" s="6">
        <v>8</v>
      </c>
    </row>
    <row r="17" spans="1:4" ht="15">
      <c r="A17" s="2" t="s">
        <v>86</v>
      </c>
      <c r="B17" s="2" t="s">
        <v>72</v>
      </c>
      <c r="C17" s="6">
        <v>87</v>
      </c>
      <c r="D17" s="6">
        <v>11</v>
      </c>
    </row>
  </sheetData>
  <autoFilter ref="A3:D17" xr:uid="{00000000-0009-0000-0000-000005000000}">
    <filterColumn colId="2">
      <colorFilter dxfId="0" cellColor="0"/>
    </filterColumn>
  </autoFilter>
  <phoneticPr fontId="2" type="noConversion"/>
  <conditionalFormatting sqref="C4:C17">
    <cfRule type="cellIs" dxfId="1" priority="2" operator="greaterThan">
      <formula>79</formula>
    </cfRule>
    <cfRule type="cellIs" dxfId="2" priority="4" operator="greaterThan">
      <formula>80</formula>
    </cfRule>
    <cfRule type="cellIs" dxfId="3" priority="1" operator="greaterThan">
      <formula>80</formula>
    </cfRule>
  </conditionalFormatting>
  <conditionalFormatting sqref="C5">
    <cfRule type="cellIs" dxfId="7" priority="3" operator="greaterThan">
      <formula>79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B2:G8"/>
  <sheetViews>
    <sheetView workbookViewId="0">
      <selection activeCell="M20" sqref="M20"/>
    </sheetView>
  </sheetViews>
  <sheetFormatPr defaultColWidth="8.77734375" defaultRowHeight="13.5"/>
  <cols>
    <col min="1" max="1" width="7" style="1" customWidth="1"/>
    <col min="2" max="2" width="10.88671875" style="1" customWidth="1"/>
    <col min="3" max="3" width="10.44140625" style="1" customWidth="1"/>
    <col min="4" max="4" width="9.21875" style="1" customWidth="1"/>
    <col min="5" max="16384" width="8.77734375" style="1"/>
  </cols>
  <sheetData>
    <row r="2" spans="2:7">
      <c r="B2" s="49" t="s">
        <v>29</v>
      </c>
      <c r="C2" s="49"/>
      <c r="D2" s="49"/>
      <c r="E2" s="49"/>
      <c r="F2" s="49"/>
      <c r="G2" s="49"/>
    </row>
    <row r="3" spans="2:7">
      <c r="B3" s="41"/>
      <c r="C3" s="42" t="s">
        <v>30</v>
      </c>
      <c r="D3" s="42" t="s">
        <v>31</v>
      </c>
      <c r="E3" s="42" t="s">
        <v>32</v>
      </c>
      <c r="F3" s="42" t="s">
        <v>33</v>
      </c>
      <c r="G3" s="42" t="s">
        <v>34</v>
      </c>
    </row>
    <row r="4" spans="2:7">
      <c r="B4" s="42" t="s">
        <v>11</v>
      </c>
      <c r="C4" s="11">
        <v>120000</v>
      </c>
      <c r="D4" s="11">
        <v>325000</v>
      </c>
      <c r="E4" s="11">
        <v>35000</v>
      </c>
      <c r="F4" s="11">
        <v>78000</v>
      </c>
      <c r="G4" s="11">
        <v>189000</v>
      </c>
    </row>
    <row r="5" spans="2:7">
      <c r="B5" s="42" t="s">
        <v>35</v>
      </c>
      <c r="C5" s="11">
        <v>250000</v>
      </c>
      <c r="D5" s="11">
        <v>280000</v>
      </c>
      <c r="E5" s="11">
        <v>350000</v>
      </c>
      <c r="F5" s="11">
        <v>700000</v>
      </c>
      <c r="G5" s="11">
        <v>560000</v>
      </c>
    </row>
    <row r="6" spans="2:7">
      <c r="B6" s="42" t="s">
        <v>36</v>
      </c>
      <c r="C6" s="11">
        <v>35000</v>
      </c>
      <c r="D6" s="11">
        <v>80000</v>
      </c>
      <c r="E6" s="11">
        <v>0</v>
      </c>
      <c r="F6" s="11">
        <v>75000</v>
      </c>
      <c r="G6" s="11">
        <v>270000</v>
      </c>
    </row>
    <row r="7" spans="2:7">
      <c r="B7" s="42" t="s">
        <v>28</v>
      </c>
      <c r="C7" s="11">
        <v>520000</v>
      </c>
      <c r="D7" s="11">
        <v>500000</v>
      </c>
      <c r="E7" s="11">
        <v>0</v>
      </c>
      <c r="F7" s="11">
        <v>620000</v>
      </c>
      <c r="G7" s="11">
        <v>320000</v>
      </c>
    </row>
    <row r="8" spans="2:7">
      <c r="B8" s="42" t="s">
        <v>37</v>
      </c>
      <c r="C8" s="11">
        <v>1000000</v>
      </c>
      <c r="D8" s="11">
        <v>400000</v>
      </c>
      <c r="E8" s="11">
        <v>30000</v>
      </c>
      <c r="F8" s="11">
        <v>210000</v>
      </c>
      <c r="G8" s="11">
        <v>105000</v>
      </c>
    </row>
  </sheetData>
  <mergeCells count="1">
    <mergeCell ref="B2:G2"/>
  </mergeCells>
  <phoneticPr fontId="2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K16"/>
  <sheetViews>
    <sheetView workbookViewId="0">
      <selection activeCell="N23" sqref="N23"/>
    </sheetView>
  </sheetViews>
  <sheetFormatPr defaultRowHeight="13.5"/>
  <cols>
    <col min="1" max="1" width="4.77734375" bestFit="1" customWidth="1"/>
    <col min="2" max="2" width="6.77734375" bestFit="1" customWidth="1"/>
    <col min="3" max="11" width="6.88671875" customWidth="1"/>
  </cols>
  <sheetData>
    <row r="1" spans="1:11" ht="15">
      <c r="A1" s="1" t="s">
        <v>38</v>
      </c>
      <c r="B1" s="10"/>
      <c r="C1" s="10"/>
      <c r="D1" s="10"/>
      <c r="E1" s="1"/>
      <c r="F1" s="1"/>
      <c r="G1" s="1"/>
      <c r="H1" s="1"/>
      <c r="I1" s="1"/>
      <c r="J1" s="1"/>
      <c r="K1" s="1"/>
    </row>
    <row r="2" spans="1:11" ht="15">
      <c r="A2" s="1"/>
      <c r="B2" s="2" t="s">
        <v>134</v>
      </c>
      <c r="C2" s="2">
        <v>2</v>
      </c>
      <c r="D2" s="10"/>
      <c r="E2" s="1"/>
      <c r="F2" s="1"/>
      <c r="G2" s="1"/>
      <c r="H2" s="1"/>
      <c r="I2" s="1"/>
      <c r="J2" s="1"/>
      <c r="K2" s="1"/>
    </row>
    <row r="3" spans="1:11" ht="15">
      <c r="A3" s="1"/>
      <c r="B3" s="2" t="s">
        <v>135</v>
      </c>
      <c r="C3" s="2">
        <v>3</v>
      </c>
      <c r="D3" s="10"/>
      <c r="E3" s="1"/>
      <c r="F3" s="1"/>
      <c r="G3" s="1"/>
      <c r="H3" s="1"/>
      <c r="I3" s="1"/>
      <c r="J3" s="1"/>
      <c r="K3" s="1"/>
    </row>
    <row r="4" spans="1:11" ht="15">
      <c r="A4" s="1"/>
      <c r="B4" s="2" t="s">
        <v>136</v>
      </c>
      <c r="C4" s="2">
        <f>$C$2*$C$3</f>
        <v>6</v>
      </c>
      <c r="D4" s="10"/>
      <c r="E4" s="1"/>
      <c r="F4" s="1"/>
      <c r="G4" s="1"/>
      <c r="H4" s="1"/>
      <c r="I4" s="1"/>
      <c r="J4" s="1"/>
      <c r="K4" s="1"/>
    </row>
    <row r="5" spans="1:11" ht="15">
      <c r="A5" s="1"/>
      <c r="B5" s="10"/>
      <c r="C5" s="10"/>
      <c r="D5" s="10"/>
      <c r="E5" s="1"/>
      <c r="F5" s="1"/>
      <c r="G5" s="1"/>
      <c r="H5" s="1"/>
      <c r="I5" s="1"/>
      <c r="J5" s="1"/>
      <c r="K5" s="1"/>
    </row>
    <row r="6" spans="1:11" ht="15">
      <c r="A6" s="1" t="s">
        <v>58</v>
      </c>
      <c r="B6" s="10"/>
      <c r="C6" s="50" t="s">
        <v>137</v>
      </c>
      <c r="D6" s="50"/>
      <c r="E6" s="50"/>
      <c r="F6" s="50"/>
      <c r="G6" s="50"/>
      <c r="H6" s="50"/>
      <c r="I6" s="50"/>
      <c r="J6" s="50"/>
      <c r="K6" s="50"/>
    </row>
    <row r="7" spans="1:11" ht="15">
      <c r="A7" s="1"/>
      <c r="B7" s="2">
        <f>C4</f>
        <v>6</v>
      </c>
      <c r="C7" s="48">
        <v>1</v>
      </c>
      <c r="D7" s="48">
        <v>2</v>
      </c>
      <c r="E7" s="48">
        <v>3</v>
      </c>
      <c r="F7" s="48">
        <v>4</v>
      </c>
      <c r="G7" s="48">
        <v>5</v>
      </c>
      <c r="H7" s="48">
        <v>6</v>
      </c>
      <c r="I7" s="48">
        <v>7</v>
      </c>
      <c r="J7" s="48">
        <v>8</v>
      </c>
      <c r="K7" s="48">
        <v>9</v>
      </c>
    </row>
    <row r="8" spans="1:11" ht="15">
      <c r="A8" s="1"/>
      <c r="B8" s="48">
        <v>1</v>
      </c>
      <c r="C8" s="2">
        <f t="dataTable" ref="C8:K16" dt2D="1" dtr="1" r1="C2" r2="C3"/>
        <v>1</v>
      </c>
      <c r="D8" s="2">
        <v>2</v>
      </c>
      <c r="E8" s="6">
        <v>3</v>
      </c>
      <c r="F8" s="6">
        <v>4</v>
      </c>
      <c r="G8" s="6">
        <v>5</v>
      </c>
      <c r="H8" s="6">
        <v>6</v>
      </c>
      <c r="I8" s="6">
        <v>7</v>
      </c>
      <c r="J8" s="6">
        <v>8</v>
      </c>
      <c r="K8" s="6">
        <v>9</v>
      </c>
    </row>
    <row r="9" spans="1:11" ht="15">
      <c r="A9" s="1"/>
      <c r="B9" s="48">
        <v>2</v>
      </c>
      <c r="C9" s="2">
        <v>2</v>
      </c>
      <c r="D9" s="2">
        <v>4</v>
      </c>
      <c r="E9" s="6">
        <v>6</v>
      </c>
      <c r="F9" s="6">
        <v>8</v>
      </c>
      <c r="G9" s="6">
        <v>10</v>
      </c>
      <c r="H9" s="6">
        <v>12</v>
      </c>
      <c r="I9" s="6">
        <v>14</v>
      </c>
      <c r="J9" s="6">
        <v>16</v>
      </c>
      <c r="K9" s="6">
        <v>18</v>
      </c>
    </row>
    <row r="10" spans="1:11" ht="15">
      <c r="A10" s="1"/>
      <c r="B10" s="48">
        <v>3</v>
      </c>
      <c r="C10" s="2">
        <v>3</v>
      </c>
      <c r="D10" s="2">
        <v>6</v>
      </c>
      <c r="E10" s="6">
        <v>9</v>
      </c>
      <c r="F10" s="6">
        <v>12</v>
      </c>
      <c r="G10" s="6">
        <v>15</v>
      </c>
      <c r="H10" s="6">
        <v>18</v>
      </c>
      <c r="I10" s="6">
        <v>21</v>
      </c>
      <c r="J10" s="6">
        <v>24</v>
      </c>
      <c r="K10" s="6">
        <v>27</v>
      </c>
    </row>
    <row r="11" spans="1:11" ht="15">
      <c r="A11" s="1"/>
      <c r="B11" s="48">
        <v>4</v>
      </c>
      <c r="C11" s="2">
        <v>4</v>
      </c>
      <c r="D11" s="2">
        <v>8</v>
      </c>
      <c r="E11" s="6">
        <v>12</v>
      </c>
      <c r="F11" s="6">
        <v>16</v>
      </c>
      <c r="G11" s="6">
        <v>20</v>
      </c>
      <c r="H11" s="6">
        <v>24</v>
      </c>
      <c r="I11" s="6">
        <v>28</v>
      </c>
      <c r="J11" s="6">
        <v>32</v>
      </c>
      <c r="K11" s="6">
        <v>36</v>
      </c>
    </row>
    <row r="12" spans="1:11" ht="15">
      <c r="A12" s="1"/>
      <c r="B12" s="48">
        <v>5</v>
      </c>
      <c r="C12" s="2">
        <v>5</v>
      </c>
      <c r="D12" s="2">
        <v>10</v>
      </c>
      <c r="E12" s="6">
        <v>15</v>
      </c>
      <c r="F12" s="6">
        <v>20</v>
      </c>
      <c r="G12" s="6">
        <v>25</v>
      </c>
      <c r="H12" s="6">
        <v>30</v>
      </c>
      <c r="I12" s="6">
        <v>35</v>
      </c>
      <c r="J12" s="6">
        <v>40</v>
      </c>
      <c r="K12" s="6">
        <v>45</v>
      </c>
    </row>
    <row r="13" spans="1:11" ht="15">
      <c r="A13" s="1"/>
      <c r="B13" s="48">
        <v>6</v>
      </c>
      <c r="C13" s="2">
        <v>6</v>
      </c>
      <c r="D13" s="2">
        <v>12</v>
      </c>
      <c r="E13" s="6">
        <v>18</v>
      </c>
      <c r="F13" s="6">
        <v>24</v>
      </c>
      <c r="G13" s="6">
        <v>30</v>
      </c>
      <c r="H13" s="6">
        <v>36</v>
      </c>
      <c r="I13" s="6">
        <v>42</v>
      </c>
      <c r="J13" s="6">
        <v>48</v>
      </c>
      <c r="K13" s="6">
        <v>54</v>
      </c>
    </row>
    <row r="14" spans="1:11" ht="15">
      <c r="A14" s="1"/>
      <c r="B14" s="48">
        <v>7</v>
      </c>
      <c r="C14" s="2">
        <v>7</v>
      </c>
      <c r="D14" s="2">
        <v>14</v>
      </c>
      <c r="E14" s="6">
        <v>21</v>
      </c>
      <c r="F14" s="6">
        <v>28</v>
      </c>
      <c r="G14" s="6">
        <v>35</v>
      </c>
      <c r="H14" s="6">
        <v>42</v>
      </c>
      <c r="I14" s="6">
        <v>49</v>
      </c>
      <c r="J14" s="6">
        <v>56</v>
      </c>
      <c r="K14" s="6">
        <v>63</v>
      </c>
    </row>
    <row r="15" spans="1:11" ht="15">
      <c r="A15" s="1"/>
      <c r="B15" s="48">
        <v>8</v>
      </c>
      <c r="C15" s="2">
        <v>8</v>
      </c>
      <c r="D15" s="2">
        <v>16</v>
      </c>
      <c r="E15" s="6">
        <v>24</v>
      </c>
      <c r="F15" s="6">
        <v>32</v>
      </c>
      <c r="G15" s="6">
        <v>40</v>
      </c>
      <c r="H15" s="6">
        <v>48</v>
      </c>
      <c r="I15" s="6">
        <v>56</v>
      </c>
      <c r="J15" s="6">
        <v>64</v>
      </c>
      <c r="K15" s="6">
        <v>72</v>
      </c>
    </row>
    <row r="16" spans="1:11" ht="15">
      <c r="A16" s="1"/>
      <c r="B16" s="48">
        <v>9</v>
      </c>
      <c r="C16" s="2">
        <v>9</v>
      </c>
      <c r="D16" s="2">
        <v>18</v>
      </c>
      <c r="E16" s="6">
        <v>27</v>
      </c>
      <c r="F16" s="6">
        <v>36</v>
      </c>
      <c r="G16" s="6">
        <v>45</v>
      </c>
      <c r="H16" s="6">
        <v>54</v>
      </c>
      <c r="I16" s="6">
        <v>63</v>
      </c>
      <c r="J16" s="6">
        <v>72</v>
      </c>
      <c r="K16" s="6">
        <v>81</v>
      </c>
    </row>
  </sheetData>
  <mergeCells count="1">
    <mergeCell ref="C6:K6"/>
  </mergeCells>
  <phoneticPr fontId="2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구구단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구구단삭제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K18"/>
  <sheetViews>
    <sheetView workbookViewId="0">
      <selection activeCell="I26" sqref="I26"/>
    </sheetView>
  </sheetViews>
  <sheetFormatPr defaultColWidth="8.77734375" defaultRowHeight="13.5"/>
  <cols>
    <col min="1" max="1" width="12.6640625" style="10" customWidth="1"/>
    <col min="2" max="4" width="9.6640625" style="10" customWidth="1"/>
    <col min="5" max="6" width="9.6640625" style="1" customWidth="1"/>
    <col min="7" max="7" width="4.77734375" style="1" customWidth="1"/>
    <col min="8" max="8" width="15.109375" style="1" bestFit="1" customWidth="1"/>
    <col min="9" max="9" width="8.5546875" style="1" bestFit="1" customWidth="1"/>
    <col min="10" max="10" width="10.88671875" style="1" bestFit="1" customWidth="1"/>
    <col min="11" max="11" width="9.88671875" style="1" bestFit="1" customWidth="1"/>
    <col min="12" max="12" width="7.109375" style="1" bestFit="1" customWidth="1"/>
    <col min="13" max="19" width="8.88671875" style="1" customWidth="1"/>
    <col min="20" max="16384" width="8.77734375" style="1"/>
  </cols>
  <sheetData>
    <row r="1" spans="1:11" ht="24" customHeight="1" thickBot="1">
      <c r="A1" s="19" t="s">
        <v>38</v>
      </c>
      <c r="B1" s="51" t="s">
        <v>53</v>
      </c>
      <c r="C1" s="51"/>
      <c r="D1" s="52" t="s">
        <v>55</v>
      </c>
      <c r="E1" s="52"/>
      <c r="F1" s="52"/>
    </row>
    <row r="2" spans="1:11" ht="14.25" thickBot="1">
      <c r="A2" s="18" t="s">
        <v>26</v>
      </c>
      <c r="B2" s="18" t="s">
        <v>40</v>
      </c>
      <c r="C2" s="18" t="s">
        <v>0</v>
      </c>
      <c r="D2" s="18" t="s">
        <v>46</v>
      </c>
      <c r="E2" s="18" t="s">
        <v>44</v>
      </c>
      <c r="F2" s="18" t="s">
        <v>45</v>
      </c>
      <c r="G2" s="10"/>
    </row>
    <row r="3" spans="1:11">
      <c r="A3" s="10" t="s">
        <v>125</v>
      </c>
      <c r="B3" s="20" t="s">
        <v>24</v>
      </c>
      <c r="C3" s="20" t="s">
        <v>126</v>
      </c>
      <c r="D3" s="21">
        <v>779908</v>
      </c>
      <c r="E3" s="21">
        <v>28076678</v>
      </c>
      <c r="F3" s="21">
        <v>1923321.5633537471</v>
      </c>
    </row>
    <row r="4" spans="1:11">
      <c r="A4" s="2"/>
      <c r="B4" s="2"/>
      <c r="C4" s="2"/>
      <c r="D4" s="22"/>
      <c r="E4" s="22"/>
      <c r="F4" s="22"/>
    </row>
    <row r="5" spans="1:11" ht="14.25" thickBot="1">
      <c r="A5" s="2"/>
      <c r="B5" s="2"/>
      <c r="C5" s="2"/>
      <c r="D5" s="22"/>
      <c r="E5" s="22"/>
      <c r="F5" s="22"/>
      <c r="H5" s="1" t="s">
        <v>54</v>
      </c>
    </row>
    <row r="6" spans="1:11" ht="14.25" thickBot="1">
      <c r="A6" s="2"/>
      <c r="B6" s="2"/>
      <c r="C6" s="2"/>
      <c r="D6" s="22"/>
      <c r="E6" s="22"/>
      <c r="F6" s="22"/>
      <c r="H6" s="23" t="s">
        <v>26</v>
      </c>
      <c r="I6" s="23" t="s">
        <v>47</v>
      </c>
      <c r="J6" s="23" t="s">
        <v>44</v>
      </c>
      <c r="K6" s="24" t="s">
        <v>45</v>
      </c>
    </row>
    <row r="7" spans="1:11">
      <c r="A7" s="2"/>
      <c r="B7" s="2"/>
      <c r="C7" s="2"/>
      <c r="D7" s="22"/>
      <c r="E7" s="22"/>
      <c r="F7" s="22"/>
      <c r="H7" s="25" t="s">
        <v>48</v>
      </c>
      <c r="I7" s="26">
        <v>785720</v>
      </c>
      <c r="J7" s="26">
        <v>28285904</v>
      </c>
      <c r="K7" s="27">
        <v>1714096.1926096082</v>
      </c>
    </row>
    <row r="8" spans="1:11">
      <c r="A8" s="2"/>
      <c r="B8" s="2"/>
      <c r="C8" s="2"/>
      <c r="D8" s="22"/>
      <c r="E8" s="22"/>
      <c r="F8" s="22"/>
      <c r="H8" s="28" t="s">
        <v>49</v>
      </c>
      <c r="I8" s="29">
        <v>779908</v>
      </c>
      <c r="J8" s="29">
        <v>28076678</v>
      </c>
      <c r="K8" s="30">
        <v>1923321.5633537471</v>
      </c>
    </row>
    <row r="9" spans="1:11">
      <c r="A9" s="2"/>
      <c r="B9" s="2"/>
      <c r="C9" s="2"/>
      <c r="D9" s="22"/>
      <c r="E9" s="22"/>
      <c r="F9" s="22"/>
      <c r="H9" s="28" t="s">
        <v>50</v>
      </c>
      <c r="I9" s="29">
        <v>774127</v>
      </c>
      <c r="J9" s="29">
        <v>27868569</v>
      </c>
      <c r="K9" s="30">
        <v>2131431.1269613951</v>
      </c>
    </row>
    <row r="10" spans="1:11">
      <c r="A10" s="2"/>
      <c r="B10" s="2"/>
      <c r="C10" s="2"/>
      <c r="D10" s="22"/>
      <c r="E10" s="22"/>
      <c r="F10" s="22"/>
      <c r="H10" s="28" t="s">
        <v>51</v>
      </c>
      <c r="I10" s="29">
        <v>768378</v>
      </c>
      <c r="J10" s="29">
        <v>27661574</v>
      </c>
      <c r="K10" s="30">
        <v>2338426.0513449535</v>
      </c>
    </row>
    <row r="11" spans="1:11" ht="14.25" thickBot="1">
      <c r="A11" s="2"/>
      <c r="B11" s="2"/>
      <c r="C11" s="2"/>
      <c r="D11" s="22"/>
      <c r="E11" s="22"/>
      <c r="F11" s="22"/>
      <c r="G11" s="31"/>
      <c r="H11" s="3" t="s">
        <v>52</v>
      </c>
      <c r="I11" s="4">
        <v>762659</v>
      </c>
      <c r="J11" s="4">
        <v>27455692</v>
      </c>
      <c r="K11" s="5">
        <v>2544307.552319549</v>
      </c>
    </row>
    <row r="12" spans="1:11">
      <c r="A12" s="2"/>
      <c r="B12" s="2"/>
      <c r="C12" s="2"/>
      <c r="D12" s="22"/>
      <c r="E12" s="22"/>
      <c r="F12" s="22"/>
      <c r="G12" s="31"/>
    </row>
    <row r="13" spans="1:11">
      <c r="A13" s="2"/>
      <c r="B13" s="2"/>
      <c r="C13" s="2"/>
      <c r="D13" s="22"/>
      <c r="E13" s="22"/>
      <c r="F13" s="22"/>
      <c r="G13" s="31"/>
    </row>
    <row r="14" spans="1:11">
      <c r="A14" s="32"/>
      <c r="B14" s="32"/>
      <c r="C14" s="32"/>
      <c r="D14" s="33"/>
      <c r="E14" s="33"/>
      <c r="F14" s="33"/>
      <c r="G14" s="31"/>
      <c r="H14" s="31"/>
      <c r="J14" s="34"/>
    </row>
    <row r="15" spans="1:11">
      <c r="D15" s="35"/>
      <c r="E15" s="35"/>
      <c r="F15" s="35"/>
      <c r="G15" s="36"/>
      <c r="H15" s="36"/>
      <c r="J15" s="34"/>
    </row>
    <row r="16" spans="1:11">
      <c r="D16" s="35"/>
      <c r="E16" s="35"/>
      <c r="F16" s="35"/>
      <c r="H16" s="36"/>
      <c r="J16" s="34"/>
    </row>
    <row r="17" spans="8:10">
      <c r="H17" s="36"/>
      <c r="J17" s="34"/>
    </row>
    <row r="18" spans="8:10">
      <c r="H18" s="36"/>
      <c r="J18" s="34"/>
    </row>
  </sheetData>
  <mergeCells count="2">
    <mergeCell ref="B1:C1"/>
    <mergeCell ref="D1:F1"/>
  </mergeCells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가입신청">
          <controlPr defaultSize="0" autoLine="0" r:id="rId5">
            <anchor moveWithCells="1">
              <from>
                <xdr:col>7</xdr:col>
                <xdr:colOff>28575</xdr:colOff>
                <xdr:row>1</xdr:row>
                <xdr:rowOff>9525</xdr:rowOff>
              </from>
              <to>
                <xdr:col>8</xdr:col>
                <xdr:colOff>228600</xdr:colOff>
                <xdr:row>3</xdr:row>
                <xdr:rowOff>0</xdr:rowOff>
              </to>
            </anchor>
          </controlPr>
        </control>
      </mc:Choice>
      <mc:Fallback>
        <control shapeId="4097" r:id="rId4" name="가입신청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1</vt:i4>
      </vt:variant>
    </vt:vector>
  </HeadingPairs>
  <TitlesOfParts>
    <vt:vector size="10" baseType="lpstr">
      <vt:lpstr>기본작업-1</vt:lpstr>
      <vt:lpstr>기본작업-2</vt:lpstr>
      <vt:lpstr>계산작업</vt:lpstr>
      <vt:lpstr>변액보험</vt:lpstr>
      <vt:lpstr>분석작업-1</vt:lpstr>
      <vt:lpstr>분석작업-2</vt:lpstr>
      <vt:lpstr>기타작업-1</vt:lpstr>
      <vt:lpstr>기타작업-2</vt:lpstr>
      <vt:lpstr>기타작업-3</vt:lpstr>
      <vt:lpstr>'기본작업-2'!Print_Area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컨버전스 디지털</cp:lastModifiedBy>
  <dcterms:created xsi:type="dcterms:W3CDTF">2020-06-30T13:15:09Z</dcterms:created>
  <dcterms:modified xsi:type="dcterms:W3CDTF">2024-03-13T04:10:54Z</dcterms:modified>
</cp:coreProperties>
</file>