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innu\OneDrive\바탕 화면\본부장님전송\컴1급실기\컴활1급소스 및 완성 파일\완성 파일\최신유형기출\"/>
    </mc:Choice>
  </mc:AlternateContent>
  <xr:revisionPtr revIDLastSave="0" documentId="13_ncr:1_{BE17BBF1-B58B-4357-B938-E664A8A821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기본작업-1" sheetId="2" r:id="rId1"/>
    <sheet name="기본작업-2" sheetId="8" r:id="rId2"/>
    <sheet name="계산작업" sheetId="3" r:id="rId3"/>
    <sheet name="분석작업-1" sheetId="4" r:id="rId4"/>
    <sheet name="분석작업-2" sheetId="5" r:id="rId5"/>
    <sheet name="Chart" sheetId="10" r:id="rId6"/>
    <sheet name="기타작업-1" sheetId="9" r:id="rId7"/>
    <sheet name="기타작업-2" sheetId="13" r:id="rId8"/>
    <sheet name="기타작업-3" sheetId="12" r:id="rId9"/>
  </sheets>
  <functionGroups builtInGroupCount="19"/>
  <definedNames>
    <definedName name="_xlnm._FilterDatabase" localSheetId="0" hidden="1">'기본작업-1'!$B$2:$J$20</definedName>
    <definedName name="_xlnm._FilterDatabase" localSheetId="1" hidden="1">'기본작업-2'!#REF!</definedName>
    <definedName name="_xlnm._FilterDatabase" localSheetId="4" hidden="1">'분석작업-2'!$B$2:$F$20</definedName>
    <definedName name="_xlnm.Criteria" localSheetId="0">'기본작업-1'!$B$22:$B$23</definedName>
    <definedName name="_xlnm.Criteria" localSheetId="1">'기본작업-2'!#REF!</definedName>
    <definedName name="_xlnm.Extract" localSheetId="0">'기본작업-1'!$B$26:$E$26</definedName>
    <definedName name="_xlnm.Extract" localSheetId="1">'기본작업-2'!#REF!</definedName>
    <definedName name="MS_Access_Database_Query" localSheetId="0">'기본작업-1'!$B$2:$J$20</definedName>
    <definedName name="_xlnm.Print_Area" localSheetId="1">'기본작업-2'!$B$2:$L$41</definedName>
    <definedName name="_xlnm.Print_Titles" localSheetId="1">'기본작업-2'!$2:$2</definedName>
  </definedNames>
  <calcPr calcId="191029"/>
  <pivotCaches>
    <pivotCache cacheId="9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" l="1"/>
  <c r="F4" i="3" a="1"/>
  <c r="F6" i="3" a="1"/>
  <c r="F8" i="3" a="1"/>
  <c r="F10" i="3" a="1"/>
  <c r="F12" i="3" a="1"/>
  <c r="F14" i="3" a="1"/>
  <c r="F16" i="3" a="1"/>
  <c r="F18" i="3" a="1"/>
  <c r="F20" i="3" a="1"/>
  <c r="F22" i="3" a="1"/>
  <c r="F5" i="3" a="1"/>
  <c r="F7" i="3" a="1"/>
  <c r="F9" i="3" a="1"/>
  <c r="F11" i="3" a="1"/>
  <c r="F13" i="3" a="1"/>
  <c r="F15" i="3" a="1"/>
  <c r="F17" i="3" a="1"/>
  <c r="F19" i="3" a="1"/>
  <c r="F21" i="3" a="1"/>
  <c r="F23" i="3" a="1"/>
  <c r="F3" i="3" a="1"/>
  <c r="F23" i="3" l="1"/>
  <c r="F21" i="3"/>
  <c r="F19" i="3"/>
  <c r="F17" i="3"/>
  <c r="F15" i="3"/>
  <c r="F13" i="3"/>
  <c r="F11" i="3"/>
  <c r="F9" i="3"/>
  <c r="F7" i="3"/>
  <c r="F5" i="3"/>
  <c r="F22" i="3"/>
  <c r="F20" i="3"/>
  <c r="F18" i="3"/>
  <c r="F16" i="3"/>
  <c r="F14" i="3"/>
  <c r="F12" i="3"/>
  <c r="F10" i="3"/>
  <c r="F8" i="3"/>
  <c r="F6" i="3"/>
  <c r="F4" i="3"/>
  <c r="F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3" i="3"/>
  <c r="E9" i="9" l="1"/>
  <c r="E8" i="9"/>
  <c r="D7" i="9"/>
  <c r="C7" i="9"/>
  <c r="E6" i="9"/>
  <c r="E5" i="9"/>
  <c r="E4" i="9"/>
  <c r="D3" i="9"/>
  <c r="C3" i="9"/>
  <c r="E3" i="9" s="1"/>
  <c r="E7" i="9" l="1"/>
  <c r="H28" i="3"/>
  <c r="H29" i="3"/>
  <c r="H30" i="3"/>
  <c r="H31" i="3"/>
  <c r="H32" i="3"/>
  <c r="H33" i="3"/>
  <c r="H34" i="3"/>
  <c r="H35" i="3"/>
  <c r="H36" i="3"/>
  <c r="H27" i="3"/>
  <c r="J9" i="3" l="1" a="1"/>
  <c r="J9" i="3" s="1"/>
  <c r="K9" i="3" a="1"/>
  <c r="K9" i="3" s="1"/>
  <c r="L9" i="3" a="1"/>
  <c r="L9" i="3" s="1"/>
  <c r="I9" i="3" a="1"/>
  <c r="I9" i="3" s="1"/>
  <c r="J3" i="3" a="1"/>
  <c r="J3" i="3" s="1"/>
  <c r="J4" i="3" a="1"/>
  <c r="J4" i="3" s="1"/>
  <c r="J5" i="3" a="1"/>
  <c r="J5" i="3" s="1"/>
  <c r="I4" i="3" a="1"/>
  <c r="I4" i="3" s="1"/>
  <c r="I5" i="3" a="1"/>
  <c r="I5" i="3" s="1"/>
  <c r="I3" i="3" a="1"/>
  <c r="I3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급여관리.accdb;DefaultDir=C:\OA;DriverId=25;FIL=MS Access;MaxBufferSize=2048;PageTimeout=5;" command="SELECT 급여지급.번호, 급여지급.사원번호, 급여지급.입사일, 급여지급.소속, 급여지급.직위, 급여지급.기본급, 급여지급.시간외수당, 급여지급.배우자, 급여지급.부양가족, 급여지급.가족수당, 급여지급.자격증, 급여지급.자격수당, 급여지급.근속년수, 급여지급.세금_x000d__x000a_FROM `C:\OA\급여관리.accdb`.급여지급 급여지급"/>
  </connection>
  <connection id="2" xr16:uid="{00000000-0015-0000-FFFF-FFFF01000000}" name="연결" type="1" refreshedVersion="1" savePassword="1" background="1" saveData="1">
    <dbPr connection="DSN=MS Access Database;DBQ=C:\Documents and Settings\lee\바탕 화면\excel\고객관리.mdb;DefaultDir=C:\Documents and Settings\lee\바탕 화면\excel;DriverId=25;FIL=MS Access;MaxBufferSize=2048;PageTimeout=5;" command="SELECT 고객관리.고객번호, 고객관리.이름, 고객관리.성별, 고객관리.지역, 고객관리.최종주문일, 고객관리.`1월 구매실적`, 고객관리.`2월 구매실적`, 고객관리.`3월 구매실적`, 고객관리.구매실적합계_x000d__x000a_FROM `C:\Documents and Settings\lee\바탕 화면\excel\고객관리`.고객관리 고객관리_x000d__x000a_WHERE (고객관리.고객번호 Like 'pr%') AND (고객관리.`1월 구매실적`&lt;&gt;0) AND (고객관리.`2월 구매실적`&lt;&gt;0) AND (고객관리.`3월 구매실적`&lt;&gt;0) OR (고객관리.고객번호 Like 'sp%') AND (고객관리.`1월 구매실적`&lt;&gt;0) AND (고객관리.`2월 구매실적`&lt;&gt;0) AND (고객관리.`3월 구매실적`&lt;&gt;0)_x000d__x000a_ORDER BY 고객관리.고객번호, 고객관리.지역 DESC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<sst xmlns="http://schemas.openxmlformats.org/spreadsheetml/2006/main" count="585" uniqueCount="304">
  <si>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</si>
  <si>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</si>
  <si>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</si>
  <si>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</si>
  <si>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</si>
  <si>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</si>
  <si>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</si>
  <si>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</si>
  <si>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구매실적합계</t>
  </si>
  <si>
    <t>PR-016</t>
  </si>
  <si>
    <t>남</t>
  </si>
  <si>
    <t>도봉</t>
  </si>
  <si>
    <t>DD-011</t>
    <phoneticPr fontId="3" type="noConversion"/>
  </si>
  <si>
    <t>여</t>
  </si>
  <si>
    <t>노원</t>
  </si>
  <si>
    <t>SP-006</t>
  </si>
  <si>
    <t>강북</t>
  </si>
  <si>
    <t>PR-008</t>
  </si>
  <si>
    <t>중랑</t>
  </si>
  <si>
    <t>DD-005</t>
    <phoneticPr fontId="3" type="noConversion"/>
  </si>
  <si>
    <t>PR-002</t>
    <phoneticPr fontId="3" type="noConversion"/>
  </si>
  <si>
    <t>DD-001</t>
    <phoneticPr fontId="3" type="noConversion"/>
  </si>
  <si>
    <t>PR-010</t>
  </si>
  <si>
    <t>SP-012</t>
  </si>
  <si>
    <t>PR-012</t>
  </si>
  <si>
    <t>PR-009</t>
  </si>
  <si>
    <t>PR-014</t>
  </si>
  <si>
    <t>SP-005</t>
  </si>
  <si>
    <t>DD-006</t>
    <phoneticPr fontId="3" type="noConversion"/>
  </si>
  <si>
    <t>SP-011</t>
  </si>
  <si>
    <t>SP-014</t>
  </si>
  <si>
    <t>SP-008</t>
  </si>
  <si>
    <t>DD-004</t>
    <phoneticPr fontId="3" type="noConversion"/>
  </si>
  <si>
    <t>김원종</t>
  </si>
  <si>
    <t>김재홍</t>
  </si>
  <si>
    <t>김준섭</t>
  </si>
  <si>
    <t>김창수</t>
  </si>
  <si>
    <t>김한솔</t>
  </si>
  <si>
    <t>문동준</t>
  </si>
  <si>
    <t>박호석</t>
  </si>
  <si>
    <t>송정철</t>
  </si>
  <si>
    <t>신해나</t>
  </si>
  <si>
    <t>원태연</t>
  </si>
  <si>
    <t>윤동건</t>
  </si>
  <si>
    <t>윤준</t>
  </si>
  <si>
    <t>이길호</t>
  </si>
  <si>
    <t>이다일</t>
  </si>
  <si>
    <t>이예찬</t>
  </si>
  <si>
    <t>남</t>
    <phoneticPr fontId="1" type="noConversion"/>
  </si>
  <si>
    <t>여</t>
    <phoneticPr fontId="1" type="noConversion"/>
  </si>
  <si>
    <t>여</t>
    <phoneticPr fontId="1" type="noConversion"/>
  </si>
  <si>
    <t>여</t>
    <phoneticPr fontId="1" type="noConversion"/>
  </si>
  <si>
    <t>남</t>
    <phoneticPr fontId="1" type="noConversion"/>
  </si>
  <si>
    <t>여</t>
    <phoneticPr fontId="1" type="noConversion"/>
  </si>
  <si>
    <t>남</t>
    <phoneticPr fontId="1" type="noConversion"/>
  </si>
  <si>
    <t>남</t>
    <phoneticPr fontId="1" type="noConversion"/>
  </si>
  <si>
    <t>이영주</t>
    <phoneticPr fontId="1" type="noConversion"/>
  </si>
  <si>
    <t>이시영</t>
    <phoneticPr fontId="1" type="noConversion"/>
  </si>
  <si>
    <t>심연주</t>
    <phoneticPr fontId="1" type="noConversion"/>
  </si>
  <si>
    <t>여</t>
    <phoneticPr fontId="1" type="noConversion"/>
  </si>
  <si>
    <t>선수이름</t>
    <phoneticPr fontId="3" type="noConversion"/>
  </si>
  <si>
    <t>선수코드</t>
    <phoneticPr fontId="4" type="noConversion"/>
  </si>
  <si>
    <t>기록</t>
    <phoneticPr fontId="3" type="noConversion"/>
  </si>
  <si>
    <t>성별</t>
    <phoneticPr fontId="3" type="noConversion"/>
  </si>
  <si>
    <t>순위</t>
    <phoneticPr fontId="3" type="noConversion"/>
  </si>
  <si>
    <t>M</t>
    <phoneticPr fontId="3" type="noConversion"/>
  </si>
  <si>
    <t>W</t>
    <phoneticPr fontId="3" type="noConversion"/>
  </si>
  <si>
    <t>기록</t>
    <phoneticPr fontId="3" type="noConversion"/>
  </si>
  <si>
    <t>인원수</t>
    <phoneticPr fontId="3" type="noConversion"/>
  </si>
  <si>
    <t>코드</t>
    <phoneticPr fontId="3" type="noConversion"/>
  </si>
  <si>
    <t>CB</t>
    <phoneticPr fontId="3" type="noConversion"/>
  </si>
  <si>
    <t>도서명</t>
    <phoneticPr fontId="3" type="noConversion"/>
  </si>
  <si>
    <t>출판사</t>
    <phoneticPr fontId="3" type="noConversion"/>
  </si>
  <si>
    <t>주문량</t>
    <phoneticPr fontId="3" type="noConversion"/>
  </si>
  <si>
    <t>재고량</t>
    <phoneticPr fontId="3" type="noConversion"/>
  </si>
  <si>
    <t>반품량</t>
    <phoneticPr fontId="3" type="noConversion"/>
  </si>
  <si>
    <t>비고</t>
    <phoneticPr fontId="3" type="noConversion"/>
  </si>
  <si>
    <t>DUF94MA</t>
    <phoneticPr fontId="3" type="noConversion"/>
  </si>
  <si>
    <t>KDA95MA</t>
    <phoneticPr fontId="3" type="noConversion"/>
  </si>
  <si>
    <t>KDA97AJ</t>
    <phoneticPr fontId="3" type="noConversion"/>
  </si>
  <si>
    <t>KIA98AA</t>
    <phoneticPr fontId="3" type="noConversion"/>
  </si>
  <si>
    <t>EKK20WE</t>
    <phoneticPr fontId="3" type="noConversion"/>
  </si>
  <si>
    <t>EEE208A</t>
    <phoneticPr fontId="3" type="noConversion"/>
  </si>
  <si>
    <t>DUF85MA</t>
    <phoneticPr fontId="3" type="noConversion"/>
  </si>
  <si>
    <t>EKK35WE</t>
    <phoneticPr fontId="3" type="noConversion"/>
  </si>
  <si>
    <t>KIA201AA</t>
    <phoneticPr fontId="3" type="noConversion"/>
  </si>
  <si>
    <t>KKA-95AE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</si>
  <si>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</t>
    </r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</si>
  <si>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GN10</t>
    </r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</si>
  <si>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JN10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</si>
  <si>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CB10</t>
    </r>
    <phoneticPr fontId="3" type="noConversion"/>
  </si>
  <si>
    <r>
      <t>J</t>
    </r>
    <r>
      <rPr>
        <sz val="11"/>
        <color theme="1"/>
        <rFont val="맑은 고딕"/>
        <family val="3"/>
        <charset val="129"/>
        <scheme val="minor"/>
      </rPr>
      <t>N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</si>
  <si>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</si>
  <si>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</si>
  <si>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GG10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</si>
  <si>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</t>
    </r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</si>
  <si>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GB10</t>
    </r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</si>
  <si>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GN10</t>
    </r>
    <phoneticPr fontId="3" type="noConversion"/>
  </si>
  <si>
    <r>
      <t>G</t>
    </r>
    <r>
      <rPr>
        <sz val="11"/>
        <color theme="1"/>
        <rFont val="맑은 고딕"/>
        <family val="3"/>
        <charset val="129"/>
        <scheme val="minor"/>
      </rPr>
      <t>G</t>
    </r>
    <phoneticPr fontId="3" type="noConversion"/>
  </si>
  <si>
    <r>
      <t>G</t>
    </r>
    <r>
      <rPr>
        <sz val="11"/>
        <color theme="1"/>
        <rFont val="맑은 고딕"/>
        <family val="3"/>
        <charset val="129"/>
        <scheme val="minor"/>
      </rPr>
      <t>N</t>
    </r>
    <phoneticPr fontId="3" type="noConversion"/>
  </si>
  <si>
    <r>
      <t>G</t>
    </r>
    <r>
      <rPr>
        <sz val="11"/>
        <color theme="1"/>
        <rFont val="맑은 고딕"/>
        <family val="3"/>
        <charset val="129"/>
        <scheme val="minor"/>
      </rPr>
      <t>B</t>
    </r>
    <phoneticPr fontId="3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</si>
  <si>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O</t>
    </r>
    <phoneticPr fontId="3" type="noConversion"/>
  </si>
  <si>
    <r>
      <t>J</t>
    </r>
    <r>
      <rPr>
        <sz val="11"/>
        <color theme="1"/>
        <rFont val="맑은 고딕"/>
        <family val="3"/>
        <charset val="129"/>
        <scheme val="minor"/>
      </rPr>
      <t>B</t>
    </r>
    <phoneticPr fontId="3" type="noConversion"/>
  </si>
  <si>
    <r>
      <t>C</t>
    </r>
    <r>
      <rPr>
        <sz val="11"/>
        <color theme="1"/>
        <rFont val="맑은 고딕"/>
        <family val="3"/>
        <charset val="129"/>
        <scheme val="minor"/>
      </rPr>
      <t>N</t>
    </r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</si>
  <si>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CN10</t>
    </r>
    <phoneticPr fontId="3" type="noConversion"/>
  </si>
  <si>
    <t>전성원</t>
  </si>
  <si>
    <t>김은성</t>
  </si>
  <si>
    <t>박지호</t>
  </si>
  <si>
    <t>이준</t>
  </si>
  <si>
    <t>황성하</t>
  </si>
  <si>
    <t>오승기</t>
  </si>
  <si>
    <t>김재경</t>
  </si>
  <si>
    <t>박세민</t>
  </si>
  <si>
    <t>주하은</t>
  </si>
  <si>
    <t>이유민</t>
  </si>
  <si>
    <t>전의진</t>
  </si>
  <si>
    <t>김지호</t>
  </si>
  <si>
    <t>유수빈</t>
  </si>
  <si>
    <t>코드</t>
    <phoneticPr fontId="1" type="noConversion"/>
  </si>
  <si>
    <t>송강희</t>
    <phoneticPr fontId="1" type="noConversion"/>
  </si>
  <si>
    <t>이혜성</t>
    <phoneticPr fontId="1" type="noConversion"/>
  </si>
  <si>
    <t>한선웅</t>
    <phoneticPr fontId="1" type="noConversion"/>
  </si>
  <si>
    <t>전현미</t>
    <phoneticPr fontId="1" type="noConversion"/>
  </si>
  <si>
    <t>김혜성</t>
    <phoneticPr fontId="1" type="noConversion"/>
  </si>
  <si>
    <t>정주리</t>
    <phoneticPr fontId="1" type="noConversion"/>
  </si>
  <si>
    <t>정신욱</t>
    <phoneticPr fontId="1" type="noConversion"/>
  </si>
  <si>
    <t>백승아</t>
    <phoneticPr fontId="1" type="noConversion"/>
  </si>
  <si>
    <t>우리할아버지</t>
    <phoneticPr fontId="3" type="noConversion"/>
  </si>
  <si>
    <t>비룡소</t>
    <phoneticPr fontId="3" type="noConversion"/>
  </si>
  <si>
    <t>신발신은 강아지</t>
    <phoneticPr fontId="3" type="noConversion"/>
  </si>
  <si>
    <t>스콜라</t>
    <phoneticPr fontId="3" type="noConversion"/>
  </si>
  <si>
    <t>까만아기양</t>
    <phoneticPr fontId="3" type="noConversion"/>
  </si>
  <si>
    <t>푸른그림책</t>
    <phoneticPr fontId="3" type="noConversion"/>
  </si>
  <si>
    <t>책먹는 여우</t>
    <phoneticPr fontId="3" type="noConversion"/>
  </si>
  <si>
    <t>주니어김영사</t>
    <phoneticPr fontId="3" type="noConversion"/>
  </si>
  <si>
    <t>자동차가 부릉부릉</t>
    <phoneticPr fontId="3" type="noConversion"/>
  </si>
  <si>
    <t>빼떼기</t>
    <phoneticPr fontId="3" type="noConversion"/>
  </si>
  <si>
    <t>창비</t>
    <phoneticPr fontId="3" type="noConversion"/>
  </si>
  <si>
    <t>시공사</t>
    <phoneticPr fontId="3" type="noConversion"/>
  </si>
  <si>
    <t>내 모자야</t>
    <phoneticPr fontId="3" type="noConversion"/>
  </si>
  <si>
    <t>날씨 굽는 가마</t>
    <phoneticPr fontId="3" type="noConversion"/>
  </si>
  <si>
    <t>효리원</t>
    <phoneticPr fontId="3" type="noConversion"/>
  </si>
  <si>
    <t>희망반창고</t>
    <phoneticPr fontId="3" type="noConversion"/>
  </si>
  <si>
    <t>계림닷컴</t>
    <phoneticPr fontId="3" type="noConversion"/>
  </si>
  <si>
    <t>나 안 할래</t>
    <phoneticPr fontId="3" type="noConversion"/>
  </si>
  <si>
    <t>아이세움</t>
    <phoneticPr fontId="3" type="noConversion"/>
  </si>
  <si>
    <t>사원번호</t>
  </si>
  <si>
    <t>입사일</t>
  </si>
  <si>
    <t>기본급</t>
  </si>
  <si>
    <t>직위</t>
  </si>
  <si>
    <t>소속</t>
  </si>
  <si>
    <t>TN-016</t>
  </si>
  <si>
    <t>대리</t>
  </si>
  <si>
    <t>K-P</t>
  </si>
  <si>
    <t>TN-021</t>
  </si>
  <si>
    <t>조건</t>
    <phoneticPr fontId="1" type="noConversion"/>
  </si>
  <si>
    <t>번호</t>
  </si>
  <si>
    <t>시간외수당</t>
  </si>
  <si>
    <t>배우자</t>
  </si>
  <si>
    <t>부양가족</t>
  </si>
  <si>
    <t>가족수당</t>
  </si>
  <si>
    <t>자격증</t>
  </si>
  <si>
    <t>자격수당</t>
  </si>
  <si>
    <t>근속년수</t>
  </si>
  <si>
    <t>세금</t>
  </si>
  <si>
    <t>TN-012</t>
  </si>
  <si>
    <t>과장</t>
  </si>
  <si>
    <t>TN-011</t>
  </si>
  <si>
    <t>S-M</t>
  </si>
  <si>
    <t>TN-010</t>
  </si>
  <si>
    <t>K-E</t>
  </si>
  <si>
    <t>TN-014</t>
  </si>
  <si>
    <t>TN-015</t>
  </si>
  <si>
    <t>TN-017</t>
  </si>
  <si>
    <t>TN-020</t>
  </si>
  <si>
    <t>S-T</t>
  </si>
  <si>
    <t>TN-019</t>
  </si>
  <si>
    <t>TN-004</t>
  </si>
  <si>
    <t>부장</t>
  </si>
  <si>
    <t>TN-001</t>
  </si>
  <si>
    <t>TN-023</t>
  </si>
  <si>
    <t>사원</t>
  </si>
  <si>
    <t>TN-027</t>
  </si>
  <si>
    <t>TN-024</t>
  </si>
  <si>
    <t>TN-032</t>
  </si>
  <si>
    <t>TN-029</t>
  </si>
  <si>
    <t>TN-026</t>
  </si>
  <si>
    <t>TN-028</t>
  </si>
  <si>
    <t>TN-005</t>
  </si>
  <si>
    <t>TN-008</t>
  </si>
  <si>
    <t>TN-030</t>
  </si>
  <si>
    <t>TN-033</t>
  </si>
  <si>
    <t>TN-003</t>
  </si>
  <si>
    <t>TN-007</t>
  </si>
  <si>
    <t>TN-009</t>
  </si>
  <si>
    <t>TN-006</t>
  </si>
  <si>
    <t>TN-022</t>
  </si>
  <si>
    <t>TN-025</t>
  </si>
  <si>
    <t>TN-013</t>
  </si>
  <si>
    <t>TN-018</t>
  </si>
  <si>
    <t>TN-002</t>
  </si>
  <si>
    <t>TN-034</t>
  </si>
  <si>
    <t>TN-035</t>
  </si>
  <si>
    <t>TN-031</t>
  </si>
  <si>
    <r>
      <t>[표5</t>
    </r>
    <r>
      <rPr>
        <sz val="11"/>
        <color theme="1"/>
        <rFont val="맑은 고딕"/>
        <family val="3"/>
        <charset val="129"/>
        <scheme val="minor"/>
      </rPr>
      <t>]</t>
    </r>
    <phoneticPr fontId="3" type="noConversion"/>
  </si>
  <si>
    <t>총합계</t>
  </si>
  <si>
    <t>2월</t>
  </si>
  <si>
    <t>3월</t>
  </si>
  <si>
    <t>1월</t>
  </si>
  <si>
    <t>4월</t>
  </si>
  <si>
    <t>12월</t>
  </si>
  <si>
    <t>합계 : 배우자</t>
  </si>
  <si>
    <t>합계 : 부양가족</t>
  </si>
  <si>
    <t>개인별 영업실적표</t>
    <phoneticPr fontId="3" type="noConversion"/>
  </si>
  <si>
    <t>영업소</t>
    <phoneticPr fontId="3" type="noConversion"/>
  </si>
  <si>
    <t>사원</t>
    <phoneticPr fontId="3" type="noConversion"/>
  </si>
  <si>
    <t>상반기</t>
    <phoneticPr fontId="3" type="noConversion"/>
  </si>
  <si>
    <t>하반기</t>
    <phoneticPr fontId="3" type="noConversion"/>
  </si>
  <si>
    <t>합계</t>
    <phoneticPr fontId="3" type="noConversion"/>
  </si>
  <si>
    <t>강서</t>
    <phoneticPr fontId="3" type="noConversion"/>
  </si>
  <si>
    <t>중구</t>
    <phoneticPr fontId="3" type="noConversion"/>
  </si>
  <si>
    <t>소계</t>
    <phoneticPr fontId="3" type="noConversion"/>
  </si>
  <si>
    <t>황현성</t>
    <phoneticPr fontId="3" type="noConversion"/>
  </si>
  <si>
    <t>이유주</t>
    <phoneticPr fontId="3" type="noConversion"/>
  </si>
  <si>
    <t>김대영</t>
    <phoneticPr fontId="3" type="noConversion"/>
  </si>
  <si>
    <t>소계</t>
    <phoneticPr fontId="3" type="noConversion"/>
  </si>
  <si>
    <t>연정훈</t>
    <phoneticPr fontId="3" type="noConversion"/>
  </si>
  <si>
    <t>한가인</t>
    <phoneticPr fontId="3" type="noConversion"/>
  </si>
  <si>
    <t>[표1]</t>
    <phoneticPr fontId="1" type="noConversion"/>
  </si>
  <si>
    <t>[표2]</t>
    <phoneticPr fontId="1" type="noConversion"/>
  </si>
  <si>
    <t>예약자</t>
    <phoneticPr fontId="1" type="noConversion"/>
  </si>
  <si>
    <t>진료과목</t>
    <phoneticPr fontId="1" type="noConversion"/>
  </si>
  <si>
    <t>진료의사</t>
    <phoneticPr fontId="1" type="noConversion"/>
  </si>
  <si>
    <t>진료일</t>
    <phoneticPr fontId="1" type="noConversion"/>
  </si>
  <si>
    <t>진료시간</t>
    <phoneticPr fontId="1" type="noConversion"/>
  </si>
  <si>
    <t>비고</t>
    <phoneticPr fontId="1" type="noConversion"/>
  </si>
  <si>
    <t>진료과목</t>
    <phoneticPr fontId="1" type="noConversion"/>
  </si>
  <si>
    <t>이민희</t>
    <phoneticPr fontId="1" type="noConversion"/>
  </si>
  <si>
    <t>정송훈</t>
    <phoneticPr fontId="1" type="noConversion"/>
  </si>
  <si>
    <t>김정민</t>
    <phoneticPr fontId="1" type="noConversion"/>
  </si>
  <si>
    <t>유병재</t>
    <phoneticPr fontId="1" type="noConversion"/>
  </si>
  <si>
    <t>허성현</t>
    <phoneticPr fontId="1" type="noConversion"/>
  </si>
  <si>
    <t>김주경</t>
    <phoneticPr fontId="1" type="noConversion"/>
  </si>
  <si>
    <t>김수연</t>
    <phoneticPr fontId="1" type="noConversion"/>
  </si>
  <si>
    <t>김민모</t>
    <phoneticPr fontId="1" type="noConversion"/>
  </si>
  <si>
    <t>장애진</t>
    <phoneticPr fontId="1" type="noConversion"/>
  </si>
  <si>
    <t>가정의학과</t>
    <phoneticPr fontId="1" type="noConversion"/>
  </si>
  <si>
    <t>소화기내과</t>
    <phoneticPr fontId="1" type="noConversion"/>
  </si>
  <si>
    <t>호흡기내과</t>
    <phoneticPr fontId="1" type="noConversion"/>
  </si>
  <si>
    <t>산부인과</t>
    <phoneticPr fontId="1" type="noConversion"/>
  </si>
  <si>
    <t>정형외과</t>
    <phoneticPr fontId="1" type="noConversion"/>
  </si>
  <si>
    <t>성형외과</t>
    <phoneticPr fontId="1" type="noConversion"/>
  </si>
  <si>
    <t>안과</t>
    <phoneticPr fontId="1" type="noConversion"/>
  </si>
  <si>
    <t>치과</t>
    <phoneticPr fontId="1" type="noConversion"/>
  </si>
  <si>
    <t>비뇨기과</t>
    <phoneticPr fontId="1" type="noConversion"/>
  </si>
  <si>
    <t>소속</t>
    <phoneticPr fontId="3" type="noConversion"/>
  </si>
  <si>
    <t>경기-일반</t>
    <phoneticPr fontId="3" type="noConversion"/>
  </si>
  <si>
    <t>경남-일반</t>
    <phoneticPr fontId="3" type="noConversion"/>
  </si>
  <si>
    <t>경북-일반</t>
    <phoneticPr fontId="3" type="noConversion"/>
  </si>
  <si>
    <t>서울-일반</t>
    <phoneticPr fontId="3" type="noConversion"/>
  </si>
  <si>
    <t>전남-일반</t>
    <phoneticPr fontId="3" type="noConversion"/>
  </si>
  <si>
    <t>전북-일반</t>
    <phoneticPr fontId="3" type="noConversion"/>
  </si>
  <si>
    <t>충남-일반</t>
    <phoneticPr fontId="3" type="noConversion"/>
  </si>
  <si>
    <t>충북-일반</t>
    <phoneticPr fontId="3" type="noConversion"/>
  </si>
  <si>
    <t>경기-고등</t>
    <phoneticPr fontId="3" type="noConversion"/>
  </si>
  <si>
    <t>경남-고등</t>
    <phoneticPr fontId="3" type="noConversion"/>
  </si>
  <si>
    <t>경북-고등</t>
    <phoneticPr fontId="3" type="noConversion"/>
  </si>
  <si>
    <t>서울-고등</t>
    <phoneticPr fontId="3" type="noConversion"/>
  </si>
  <si>
    <t>전남-고등</t>
    <phoneticPr fontId="3" type="noConversion"/>
  </si>
  <si>
    <t>전북-고등</t>
    <phoneticPr fontId="3" type="noConversion"/>
  </si>
  <si>
    <t>충남-고등</t>
    <phoneticPr fontId="3" type="noConversion"/>
  </si>
  <si>
    <t>충북-고등</t>
    <phoneticPr fontId="3" type="noConversion"/>
  </si>
  <si>
    <t>경기-대학</t>
    <phoneticPr fontId="3" type="noConversion"/>
  </si>
  <si>
    <t>경남-대학</t>
    <phoneticPr fontId="3" type="noConversion"/>
  </si>
  <si>
    <t>경북-대학</t>
    <phoneticPr fontId="3" type="noConversion"/>
  </si>
  <si>
    <t>서울-대학</t>
    <phoneticPr fontId="3" type="noConversion"/>
  </si>
  <si>
    <t>전남-대학</t>
    <phoneticPr fontId="3" type="noConversion"/>
  </si>
  <si>
    <t>전북-대학</t>
    <phoneticPr fontId="3" type="noConversion"/>
  </si>
  <si>
    <t>충남-대학</t>
    <phoneticPr fontId="3" type="noConversion"/>
  </si>
  <si>
    <t>충북-대학</t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</si>
  <si>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SO20</t>
    </r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</si>
  <si>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CN30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</si>
  <si>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GG40</t>
    </r>
    <phoneticPr fontId="3" type="noConversion"/>
  </si>
  <si>
    <r>
      <t>W</t>
    </r>
    <r>
      <rPr>
        <sz val="11"/>
        <color theme="1"/>
        <rFont val="맑은 고딕"/>
        <family val="3"/>
        <charset val="129"/>
        <scheme val="minor"/>
      </rPr>
      <t>JN20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</si>
  <si>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GB30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</si>
  <si>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GN30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</si>
  <si>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GB20</t>
    </r>
    <phoneticPr fontId="3" type="noConversion"/>
  </si>
  <si>
    <t>WCB20</t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</si>
  <si>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SO20</t>
    </r>
    <phoneticPr fontId="3" type="noConversion"/>
  </si>
  <si>
    <t>WCB30</t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</si>
  <si>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CN30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</si>
  <si>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SO40</t>
    </r>
    <phoneticPr fontId="3" type="noConversion"/>
  </si>
  <si>
    <r>
      <t>M</t>
    </r>
    <r>
      <rPr>
        <sz val="11"/>
        <color theme="1"/>
        <rFont val="맑은 고딕"/>
        <family val="3"/>
        <charset val="129"/>
        <scheme val="minor"/>
      </rPr>
      <t>JB50</t>
    </r>
    <phoneticPr fontId="3" type="noConversion"/>
  </si>
  <si>
    <t>박하나</t>
  </si>
  <si>
    <t>2020-12-24</t>
  </si>
  <si>
    <t>성형외과</t>
  </si>
  <si>
    <t>김주경</t>
  </si>
  <si>
    <t>19:00</t>
  </si>
  <si>
    <t>시간외진료</t>
  </si>
  <si>
    <t>고객등급코드</t>
    <phoneticPr fontId="1" type="noConversion"/>
  </si>
  <si>
    <t>고객-No</t>
    <phoneticPr fontId="1" type="noConversion"/>
  </si>
  <si>
    <t>SP</t>
  </si>
  <si>
    <t>DD</t>
  </si>
  <si>
    <t>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</si>
</sst>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[h]:mm"/>
    <numFmt numFmtId="177" formatCode="0&quot;명&quot;"/>
    <numFmt numFmtId="178" formatCode="[$-409]h:mm\ AM/PM;@"/>
    <numFmt numFmtId="179" formatCode="[Blue]#,##0;[Red]\(#,##0\);&quot;☆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color rgb="FF333333"/>
      <name val="Gulim"/>
      <family val="3"/>
    </font>
    <font>
      <b/>
      <sz val="11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3" fillId="0" borderId="0"/>
    <xf numFmtId="41" fontId="13" fillId="0" borderId="0" applyFont="0" applyFill="0" applyBorder="0" applyAlignment="0" applyProtection="0"/>
  </cellStyleXfs>
  <cellXfs count="52">
    <xf numFmtId="0" fontId="0" fillId="0" borderId="0" xfId="0">
      <alignment vertical="center"/>
    </xf>
    <xf numFmtId="0" fontId="0" fillId="0" borderId="0" xfId="0" applyAlignment="1"/>
    <xf numFmtId="14" fontId="0" fillId="0" borderId="1" xfId="0" applyNumberFormat="1" applyBorder="1" applyAlignment="1"/>
    <xf numFmtId="0" fontId="0" fillId="0" borderId="1" xfId="0" applyBorder="1" applyAlignment="1">
      <alignment horizontal="center"/>
    </xf>
    <xf numFmtId="41" fontId="0" fillId="0" borderId="1" xfId="1" applyFont="1" applyBorder="1" applyAlignment="1"/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/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shrinkToFit="1"/>
    </xf>
    <xf numFmtId="41" fontId="5" fillId="0" borderId="1" xfId="1" applyFont="1" applyFill="1" applyBorder="1" applyAlignment="1">
      <alignment horizont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20" fontId="6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7" fillId="0" borderId="0" xfId="0" applyFont="1">
      <alignment vertical="center"/>
    </xf>
    <xf numFmtId="0" fontId="0" fillId="4" borderId="2" xfId="0" applyFill="1" applyBorder="1">
      <alignment vertical="center"/>
    </xf>
    <xf numFmtId="22" fontId="0" fillId="4" borderId="3" xfId="0" applyNumberFormat="1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8" fillId="3" borderId="5" xfId="0" applyFont="1" applyFill="1" applyBorder="1">
      <alignment vertical="center"/>
    </xf>
    <xf numFmtId="0" fontId="8" fillId="3" borderId="6" xfId="0" applyFont="1" applyFill="1" applyBorder="1">
      <alignment vertical="center"/>
    </xf>
    <xf numFmtId="0" fontId="8" fillId="3" borderId="7" xfId="0" applyFont="1" applyFill="1" applyBorder="1">
      <alignment vertical="center"/>
    </xf>
    <xf numFmtId="0" fontId="0" fillId="4" borderId="5" xfId="0" applyFill="1" applyBorder="1">
      <alignment vertical="center"/>
    </xf>
    <xf numFmtId="22" fontId="0" fillId="4" borderId="6" xfId="0" applyNumberFormat="1" applyFill="1" applyBorder="1">
      <alignment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0" borderId="5" xfId="0" applyBorder="1">
      <alignment vertical="center"/>
    </xf>
    <xf numFmtId="22" fontId="0" fillId="0" borderId="6" xfId="0" applyNumberFormat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76" fontId="10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12" fillId="0" borderId="1" xfId="0" applyFont="1" applyBorder="1" applyAlignment="1">
      <alignment horizontal="center"/>
    </xf>
    <xf numFmtId="0" fontId="12" fillId="2" borderId="1" xfId="0" applyFont="1" applyFill="1" applyBorder="1" applyAlignment="1"/>
    <xf numFmtId="41" fontId="12" fillId="0" borderId="1" xfId="1" applyFont="1" applyBorder="1" applyAlignment="1"/>
    <xf numFmtId="41" fontId="12" fillId="0" borderId="1" xfId="1" applyFont="1" applyFill="1" applyBorder="1" applyAlignment="1"/>
    <xf numFmtId="0" fontId="12" fillId="0" borderId="1" xfId="0" applyFont="1" applyBorder="1" applyAlignment="1"/>
    <xf numFmtId="0" fontId="0" fillId="0" borderId="1" xfId="0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1" applyNumberFormat="1" applyFont="1" applyBorder="1" applyAlignment="1"/>
    <xf numFmtId="0" fontId="1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/>
    </xf>
  </cellXfs>
  <cellStyles count="4">
    <cellStyle name="쉼표 [0]" xfId="1" builtinId="6"/>
    <cellStyle name="쉼표 [0] 2" xfId="3" xr:uid="{00000000-0005-0000-0000-000001000000}"/>
    <cellStyle name="표준" xfId="0" builtinId="0"/>
    <cellStyle name="표준 2" xfId="2" xr:uid="{00000000-0005-0000-0000-000003000000}"/>
  </cellStyles>
  <dxfs count="2">
    <dxf>
      <numFmt numFmtId="177" formatCode="0&quot;명&quot;"/>
    </dxf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개인별 영업실적표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상반기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('기타작업-1'!$B$4:$B$6,'기타작업-1'!$B$8:$B$9)</c:f>
              <c:strCache>
                <c:ptCount val="5"/>
                <c:pt idx="0">
                  <c:v>황현성</c:v>
                </c:pt>
                <c:pt idx="1">
                  <c:v>이유주</c:v>
                </c:pt>
                <c:pt idx="2">
                  <c:v>김대영</c:v>
                </c:pt>
                <c:pt idx="3">
                  <c:v>연정훈</c:v>
                </c:pt>
                <c:pt idx="4">
                  <c:v>한가인</c:v>
                </c:pt>
              </c:strCache>
            </c:strRef>
          </c:cat>
          <c:val>
            <c:numRef>
              <c:f>('기타작업-1'!$C$4:$C$6,'기타작업-1'!$C$8:$C$9)</c:f>
              <c:numCache>
                <c:formatCode>_(* #,##0_);_(* \(#,##0\);_(* "-"_);_(@_)</c:formatCode>
                <c:ptCount val="5"/>
                <c:pt idx="0">
                  <c:v>45</c:v>
                </c:pt>
                <c:pt idx="1">
                  <c:v>76</c:v>
                </c:pt>
                <c:pt idx="2">
                  <c:v>43</c:v>
                </c:pt>
                <c:pt idx="3">
                  <c:v>23</c:v>
                </c:pt>
                <c:pt idx="4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75-4170-9A17-9E21C788D940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하반기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('기타작업-1'!$B$4:$B$6,'기타작업-1'!$B$8:$B$9)</c:f>
              <c:strCache>
                <c:ptCount val="5"/>
                <c:pt idx="0">
                  <c:v>황현성</c:v>
                </c:pt>
                <c:pt idx="1">
                  <c:v>이유주</c:v>
                </c:pt>
                <c:pt idx="2">
                  <c:v>김대영</c:v>
                </c:pt>
                <c:pt idx="3">
                  <c:v>연정훈</c:v>
                </c:pt>
                <c:pt idx="4">
                  <c:v>한가인</c:v>
                </c:pt>
              </c:strCache>
            </c:strRef>
          </c:cat>
          <c:val>
            <c:numRef>
              <c:f>('기타작업-1'!$D$4:$D$6,'기타작업-1'!$D$8:$D$9)</c:f>
              <c:numCache>
                <c:formatCode>_(* #,##0_);_(* \(#,##0\);_(* "-"_);_(@_)</c:formatCode>
                <c:ptCount val="5"/>
                <c:pt idx="0">
                  <c:v>76</c:v>
                </c:pt>
                <c:pt idx="1">
                  <c:v>87</c:v>
                </c:pt>
                <c:pt idx="2">
                  <c:v>43</c:v>
                </c:pt>
                <c:pt idx="3">
                  <c:v>35</c:v>
                </c:pt>
                <c:pt idx="4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75-4170-9A17-9E21C788D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988304"/>
        <c:axId val="448984144"/>
      </c:barChart>
      <c:lineChart>
        <c:grouping val="standard"/>
        <c:varyColors val="0"/>
        <c:ser>
          <c:idx val="2"/>
          <c:order val="2"/>
          <c:tx>
            <c:strRef>
              <c:f>'기타작업-1'!$E$2</c:f>
              <c:strCache>
                <c:ptCount val="1"/>
                <c:pt idx="0">
                  <c:v>합계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('기타작업-1'!$B$4:$B$6,'기타작업-1'!$B$8:$B$9)</c:f>
              <c:strCache>
                <c:ptCount val="5"/>
                <c:pt idx="0">
                  <c:v>황현성</c:v>
                </c:pt>
                <c:pt idx="1">
                  <c:v>이유주</c:v>
                </c:pt>
                <c:pt idx="2">
                  <c:v>김대영</c:v>
                </c:pt>
                <c:pt idx="3">
                  <c:v>연정훈</c:v>
                </c:pt>
                <c:pt idx="4">
                  <c:v>한가인</c:v>
                </c:pt>
              </c:strCache>
            </c:strRef>
          </c:cat>
          <c:val>
            <c:numRef>
              <c:f>('기타작업-1'!$E$4:$E$6,'기타작업-1'!$E$8:$E$9)</c:f>
              <c:numCache>
                <c:formatCode>_(* #,##0_);_(* \(#,##0\);_(* "-"_);_(@_)</c:formatCode>
                <c:ptCount val="5"/>
                <c:pt idx="0">
                  <c:v>121</c:v>
                </c:pt>
                <c:pt idx="1">
                  <c:v>163</c:v>
                </c:pt>
                <c:pt idx="2">
                  <c:v>86</c:v>
                </c:pt>
                <c:pt idx="3">
                  <c:v>58</c:v>
                </c:pt>
                <c:pt idx="4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75-4170-9A17-9E21C788D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713760"/>
        <c:axId val="448711264"/>
      </c:lineChart>
      <c:catAx>
        <c:axId val="44898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8984144"/>
        <c:crosses val="autoZero"/>
        <c:auto val="1"/>
        <c:lblAlgn val="ctr"/>
        <c:lblOffset val="100"/>
        <c:noMultiLvlLbl val="0"/>
      </c:catAx>
      <c:valAx>
        <c:axId val="4489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실적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8988304"/>
        <c:crosses val="autoZero"/>
        <c:crossBetween val="between"/>
      </c:valAx>
      <c:valAx>
        <c:axId val="448711264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개인별누계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8713760"/>
        <c:crosses val="max"/>
        <c:crossBetween val="between"/>
      </c:valAx>
      <c:catAx>
        <c:axId val="448713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4871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차트1"/>
  <sheetViews>
    <sheetView zoomScale="10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7286" cy="6077857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구매실적서식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76200</xdr:rowOff>
        </xdr:from>
        <xdr:to>
          <xdr:col>6</xdr:col>
          <xdr:colOff>533400</xdr:colOff>
          <xdr:row>2</xdr:row>
          <xdr:rowOff>9525</xdr:rowOff>
        </xdr:to>
        <xdr:sp macro="" textlink="">
          <xdr:nvSpPr>
            <xdr:cNvPr id="16385" name="cmd예약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남오" refreshedDate="44059.693916550925" createdVersion="6" refreshedVersion="6" minRefreshableVersion="3" recordCount="39" xr:uid="{00000000-000A-0000-FFFF-FFFF00000000}">
  <cacheSource type="external" connectionId="1"/>
  <cacheFields count="14">
    <cacheField name="번호" numFmtId="0" sqlType="8">
      <sharedItems containsSemiMixedTypes="0" containsString="0" containsNumber="1" containsInteger="1" minValue="1" maxValue="39"/>
    </cacheField>
    <cacheField name="사원번호" numFmtId="0" sqlType="-9">
      <sharedItems/>
    </cacheField>
    <cacheField name="입사일" numFmtId="0" sqlType="11">
      <sharedItems containsSemiMixedTypes="0" containsNonDate="0" containsDate="1" containsString="0" minDate="2007-02-01T00:00:00" maxDate="2020-02-02T00:00:00" count="23">
        <d v="2013-03-01T00:00:00"/>
        <d v="2012-01-01T00:00:00"/>
        <d v="2014-01-01T00:00:00"/>
        <d v="2015-01-01T00:00:00"/>
        <d v="2017-01-01T00:00:00"/>
        <d v="2016-02-05T00:00:00"/>
        <d v="2016-02-01T00:00:00"/>
        <d v="2008-02-01T00:00:00"/>
        <d v="2007-02-01T00:00:00"/>
        <d v="2018-03-01T00:00:00"/>
        <d v="2019-01-02T00:00:00"/>
        <d v="2020-01-01T00:00:00"/>
        <d v="2020-02-01T00:00:00"/>
        <d v="2019-01-01T00:00:00"/>
        <d v="2019-02-01T00:00:00"/>
        <d v="2009-03-02T00:00:00"/>
        <d v="2010-12-01T00:00:00"/>
        <d v="2010-03-01T00:00:00"/>
        <d v="2011-02-01T00:00:00"/>
        <d v="2010-02-01T00:00:00"/>
        <d v="2017-02-01T00:00:00"/>
        <d v="2013-04-01T00:00:00"/>
        <d v="2015-02-05T00:00:00"/>
      </sharedItems>
      <fieldGroup base="2">
        <rangePr groupBy="months" startDate="2007-02-01T00:00:00" endDate="2020-02-02T00:00:00"/>
        <groupItems count="14">
          <s v="&lt;2007-02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0-02-02"/>
        </groupItems>
      </fieldGroup>
    </cacheField>
    <cacheField name="소속" numFmtId="0" sqlType="-9">
      <sharedItems count="4">
        <s v="K-P"/>
        <s v="S-M"/>
        <s v="K-E"/>
        <s v="S-T"/>
      </sharedItems>
    </cacheField>
    <cacheField name="직위" numFmtId="0" sqlType="-9">
      <sharedItems count="4">
        <s v="과장"/>
        <s v="대리"/>
        <s v="부장"/>
        <s v="사원"/>
      </sharedItems>
    </cacheField>
    <cacheField name="기본급" numFmtId="0" sqlType="8">
      <sharedItems containsSemiMixedTypes="0" containsString="0" containsNumber="1" containsInteger="1" minValue="1700000" maxValue="3500000" count="12">
        <n v="2800000"/>
        <n v="2900000"/>
        <n v="2500000"/>
        <n v="2400000"/>
        <n v="3400000"/>
        <n v="3500000"/>
        <n v="2000000"/>
        <n v="1900000"/>
        <n v="1700000"/>
        <n v="1800000"/>
        <n v="3000000"/>
        <n v="2300000"/>
      </sharedItems>
    </cacheField>
    <cacheField name="시간외수당" numFmtId="0" sqlType="8">
      <sharedItems containsSemiMixedTypes="0" containsString="0" containsNumber="1" containsInteger="1" minValue="300000" maxValue="750000" count="12">
        <n v="575000"/>
        <n v="600000"/>
        <n v="500000"/>
        <n v="475000"/>
        <n v="725000"/>
        <n v="750000"/>
        <n v="375000"/>
        <n v="350000"/>
        <n v="300000"/>
        <n v="325000"/>
        <n v="625000"/>
        <n v="450000"/>
      </sharedItems>
    </cacheField>
    <cacheField name="배우자" numFmtId="0" sqlType="8">
      <sharedItems containsSemiMixedTypes="0" containsString="0" containsNumber="1" containsInteger="1" minValue="0" maxValue="1" count="2">
        <n v="1"/>
        <n v="0"/>
      </sharedItems>
    </cacheField>
    <cacheField name="부양가족" numFmtId="0" sqlType="8">
      <sharedItems containsSemiMixedTypes="0" containsString="0" containsNumber="1" containsInteger="1" minValue="0" maxValue="4" count="5">
        <n v="0"/>
        <n v="2"/>
        <n v="1"/>
        <n v="3"/>
        <n v="4"/>
      </sharedItems>
    </cacheField>
    <cacheField name="가족수당" numFmtId="0" sqlType="8">
      <sharedItems containsSemiMixedTypes="0" containsString="0" containsNumber="1" containsInteger="1" minValue="0" maxValue="150000" count="6">
        <n v="30000"/>
        <n v="0"/>
        <n v="90000"/>
        <n v="60000"/>
        <n v="120000"/>
        <n v="150000"/>
      </sharedItems>
    </cacheField>
    <cacheField name="자격증" numFmtId="0" sqlType="8">
      <sharedItems containsSemiMixedTypes="0" containsString="0" containsNumber="1" containsInteger="1" minValue="0" maxValue="3" count="4">
        <n v="2"/>
        <n v="0"/>
        <n v="1"/>
        <n v="3"/>
      </sharedItems>
    </cacheField>
    <cacheField name="자격수당" numFmtId="0" sqlType="8">
      <sharedItems containsSemiMixedTypes="0" containsString="0" containsNumber="1" containsInteger="1" minValue="0" maxValue="300000" count="4">
        <n v="200000"/>
        <n v="0"/>
        <n v="100000"/>
        <n v="300000"/>
      </sharedItems>
    </cacheField>
    <cacheField name="근속년수" numFmtId="0" sqlType="8">
      <sharedItems containsSemiMixedTypes="0" containsString="0" containsNumber="1" containsInteger="1" minValue="0" maxValue="13" count="14">
        <n v="7"/>
        <n v="8"/>
        <n v="6"/>
        <n v="5"/>
        <n v="3"/>
        <n v="4"/>
        <n v="12"/>
        <n v="13"/>
        <n v="2"/>
        <n v="1"/>
        <n v="0"/>
        <n v="11"/>
        <n v="9"/>
        <n v="10"/>
      </sharedItems>
    </cacheField>
    <cacheField name="세금" numFmtId="0" sqlType="8">
      <sharedItems containsSemiMixedTypes="0" containsString="0" containsNumber="1" containsInteger="1" minValue="170000" maxValue="366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n v="1"/>
    <s v="TN-012"/>
    <x v="0"/>
    <x v="0"/>
    <x v="0"/>
    <x v="0"/>
    <x v="0"/>
    <x v="0"/>
    <x v="0"/>
    <x v="0"/>
    <x v="0"/>
    <x v="0"/>
    <x v="0"/>
    <n v="298400"/>
  </r>
  <r>
    <n v="2"/>
    <s v="TN-011"/>
    <x v="1"/>
    <x v="1"/>
    <x v="0"/>
    <x v="1"/>
    <x v="1"/>
    <x v="1"/>
    <x v="0"/>
    <x v="1"/>
    <x v="1"/>
    <x v="1"/>
    <x v="1"/>
    <n v="290000"/>
  </r>
  <r>
    <n v="3"/>
    <s v="TN-010"/>
    <x v="1"/>
    <x v="2"/>
    <x v="0"/>
    <x v="1"/>
    <x v="1"/>
    <x v="0"/>
    <x v="1"/>
    <x v="2"/>
    <x v="2"/>
    <x v="2"/>
    <x v="1"/>
    <n v="305200"/>
  </r>
  <r>
    <n v="4"/>
    <s v="TN-014"/>
    <x v="2"/>
    <x v="2"/>
    <x v="0"/>
    <x v="0"/>
    <x v="0"/>
    <x v="0"/>
    <x v="0"/>
    <x v="0"/>
    <x v="1"/>
    <x v="1"/>
    <x v="2"/>
    <n v="282400"/>
  </r>
  <r>
    <n v="5"/>
    <s v="TN-015"/>
    <x v="3"/>
    <x v="1"/>
    <x v="1"/>
    <x v="2"/>
    <x v="2"/>
    <x v="1"/>
    <x v="1"/>
    <x v="3"/>
    <x v="1"/>
    <x v="1"/>
    <x v="3"/>
    <n v="254800"/>
  </r>
  <r>
    <n v="6"/>
    <s v="TN-016"/>
    <x v="3"/>
    <x v="0"/>
    <x v="1"/>
    <x v="2"/>
    <x v="2"/>
    <x v="1"/>
    <x v="2"/>
    <x v="0"/>
    <x v="2"/>
    <x v="2"/>
    <x v="3"/>
    <n v="260400"/>
  </r>
  <r>
    <n v="7"/>
    <s v="TN-017"/>
    <x v="3"/>
    <x v="1"/>
    <x v="1"/>
    <x v="2"/>
    <x v="2"/>
    <x v="1"/>
    <x v="1"/>
    <x v="3"/>
    <x v="0"/>
    <x v="0"/>
    <x v="3"/>
    <n v="270800"/>
  </r>
  <r>
    <n v="8"/>
    <s v="TN-021"/>
    <x v="4"/>
    <x v="0"/>
    <x v="1"/>
    <x v="3"/>
    <x v="3"/>
    <x v="1"/>
    <x v="2"/>
    <x v="0"/>
    <x v="1"/>
    <x v="1"/>
    <x v="4"/>
    <n v="242400"/>
  </r>
  <r>
    <n v="9"/>
    <s v="TN-020"/>
    <x v="5"/>
    <x v="3"/>
    <x v="1"/>
    <x v="3"/>
    <x v="3"/>
    <x v="1"/>
    <x v="0"/>
    <x v="1"/>
    <x v="2"/>
    <x v="2"/>
    <x v="5"/>
    <n v="248000"/>
  </r>
  <r>
    <n v="10"/>
    <s v="TN-019"/>
    <x v="6"/>
    <x v="2"/>
    <x v="1"/>
    <x v="3"/>
    <x v="3"/>
    <x v="0"/>
    <x v="3"/>
    <x v="4"/>
    <x v="2"/>
    <x v="2"/>
    <x v="5"/>
    <n v="257600"/>
  </r>
  <r>
    <n v="11"/>
    <s v="TN-004"/>
    <x v="7"/>
    <x v="1"/>
    <x v="2"/>
    <x v="4"/>
    <x v="4"/>
    <x v="0"/>
    <x v="0"/>
    <x v="0"/>
    <x v="3"/>
    <x v="3"/>
    <x v="6"/>
    <n v="366400"/>
  </r>
  <r>
    <n v="12"/>
    <s v="TN-001"/>
    <x v="8"/>
    <x v="0"/>
    <x v="2"/>
    <x v="5"/>
    <x v="5"/>
    <x v="1"/>
    <x v="0"/>
    <x v="1"/>
    <x v="1"/>
    <x v="1"/>
    <x v="7"/>
    <n v="350000"/>
  </r>
  <r>
    <n v="13"/>
    <s v="TN-023"/>
    <x v="9"/>
    <x v="2"/>
    <x v="3"/>
    <x v="6"/>
    <x v="6"/>
    <x v="0"/>
    <x v="0"/>
    <x v="0"/>
    <x v="2"/>
    <x v="2"/>
    <x v="8"/>
    <n v="210400"/>
  </r>
  <r>
    <n v="14"/>
    <s v="TN-027"/>
    <x v="10"/>
    <x v="2"/>
    <x v="3"/>
    <x v="7"/>
    <x v="7"/>
    <x v="1"/>
    <x v="0"/>
    <x v="1"/>
    <x v="2"/>
    <x v="2"/>
    <x v="9"/>
    <n v="198000"/>
  </r>
  <r>
    <n v="15"/>
    <s v="TN-024"/>
    <x v="9"/>
    <x v="0"/>
    <x v="3"/>
    <x v="6"/>
    <x v="6"/>
    <x v="0"/>
    <x v="2"/>
    <x v="3"/>
    <x v="1"/>
    <x v="1"/>
    <x v="8"/>
    <n v="204800"/>
  </r>
  <r>
    <n v="16"/>
    <s v="TN-032"/>
    <x v="11"/>
    <x v="2"/>
    <x v="3"/>
    <x v="8"/>
    <x v="8"/>
    <x v="0"/>
    <x v="4"/>
    <x v="5"/>
    <x v="1"/>
    <x v="1"/>
    <x v="10"/>
    <n v="182000"/>
  </r>
  <r>
    <n v="17"/>
    <s v="TN-029"/>
    <x v="12"/>
    <x v="3"/>
    <x v="3"/>
    <x v="9"/>
    <x v="9"/>
    <x v="0"/>
    <x v="0"/>
    <x v="0"/>
    <x v="1"/>
    <x v="1"/>
    <x v="10"/>
    <n v="182400"/>
  </r>
  <r>
    <n v="18"/>
    <s v="TN-026"/>
    <x v="13"/>
    <x v="0"/>
    <x v="3"/>
    <x v="7"/>
    <x v="7"/>
    <x v="1"/>
    <x v="0"/>
    <x v="1"/>
    <x v="2"/>
    <x v="2"/>
    <x v="9"/>
    <n v="198000"/>
  </r>
  <r>
    <n v="19"/>
    <s v="TN-028"/>
    <x v="14"/>
    <x v="0"/>
    <x v="3"/>
    <x v="7"/>
    <x v="7"/>
    <x v="1"/>
    <x v="1"/>
    <x v="3"/>
    <x v="1"/>
    <x v="1"/>
    <x v="9"/>
    <n v="194800"/>
  </r>
  <r>
    <n v="20"/>
    <s v="TN-005"/>
    <x v="15"/>
    <x v="2"/>
    <x v="2"/>
    <x v="4"/>
    <x v="4"/>
    <x v="0"/>
    <x v="3"/>
    <x v="4"/>
    <x v="1"/>
    <x v="1"/>
    <x v="11"/>
    <n v="349600"/>
  </r>
  <r>
    <n v="21"/>
    <s v="TN-008"/>
    <x v="16"/>
    <x v="3"/>
    <x v="2"/>
    <x v="10"/>
    <x v="10"/>
    <x v="1"/>
    <x v="2"/>
    <x v="0"/>
    <x v="1"/>
    <x v="1"/>
    <x v="12"/>
    <n v="302400"/>
  </r>
  <r>
    <n v="22"/>
    <s v="TN-030"/>
    <x v="12"/>
    <x v="3"/>
    <x v="3"/>
    <x v="9"/>
    <x v="9"/>
    <x v="0"/>
    <x v="3"/>
    <x v="4"/>
    <x v="2"/>
    <x v="2"/>
    <x v="10"/>
    <n v="197600"/>
  </r>
  <r>
    <n v="23"/>
    <s v="TN-033"/>
    <x v="11"/>
    <x v="2"/>
    <x v="3"/>
    <x v="8"/>
    <x v="8"/>
    <x v="1"/>
    <x v="0"/>
    <x v="1"/>
    <x v="1"/>
    <x v="1"/>
    <x v="10"/>
    <n v="170000"/>
  </r>
  <r>
    <n v="24"/>
    <s v="TN-003"/>
    <x v="8"/>
    <x v="2"/>
    <x v="2"/>
    <x v="5"/>
    <x v="5"/>
    <x v="0"/>
    <x v="1"/>
    <x v="2"/>
    <x v="2"/>
    <x v="2"/>
    <x v="7"/>
    <n v="365200"/>
  </r>
  <r>
    <n v="25"/>
    <s v="TN-007"/>
    <x v="17"/>
    <x v="1"/>
    <x v="0"/>
    <x v="10"/>
    <x v="10"/>
    <x v="0"/>
    <x v="4"/>
    <x v="5"/>
    <x v="1"/>
    <x v="1"/>
    <x v="13"/>
    <n v="312000"/>
  </r>
  <r>
    <n v="26"/>
    <s v="TN-009"/>
    <x v="18"/>
    <x v="1"/>
    <x v="0"/>
    <x v="1"/>
    <x v="1"/>
    <x v="1"/>
    <x v="1"/>
    <x v="3"/>
    <x v="1"/>
    <x v="1"/>
    <x v="12"/>
    <n v="294800"/>
  </r>
  <r>
    <n v="27"/>
    <s v="TN-006"/>
    <x v="19"/>
    <x v="3"/>
    <x v="0"/>
    <x v="10"/>
    <x v="10"/>
    <x v="0"/>
    <x v="1"/>
    <x v="2"/>
    <x v="0"/>
    <x v="0"/>
    <x v="13"/>
    <n v="323200"/>
  </r>
  <r>
    <n v="28"/>
    <s v="TN-022"/>
    <x v="20"/>
    <x v="3"/>
    <x v="1"/>
    <x v="11"/>
    <x v="11"/>
    <x v="1"/>
    <x v="1"/>
    <x v="3"/>
    <x v="2"/>
    <x v="2"/>
    <x v="4"/>
    <n v="242800"/>
  </r>
  <r>
    <n v="29"/>
    <s v="TN-025"/>
    <x v="9"/>
    <x v="3"/>
    <x v="1"/>
    <x v="11"/>
    <x v="11"/>
    <x v="0"/>
    <x v="1"/>
    <x v="2"/>
    <x v="0"/>
    <x v="0"/>
    <x v="8"/>
    <n v="253200"/>
  </r>
  <r>
    <n v="30"/>
    <s v="TN-013"/>
    <x v="21"/>
    <x v="3"/>
    <x v="0"/>
    <x v="0"/>
    <x v="0"/>
    <x v="0"/>
    <x v="3"/>
    <x v="4"/>
    <x v="3"/>
    <x v="3"/>
    <x v="0"/>
    <n v="313600"/>
  </r>
  <r>
    <n v="31"/>
    <s v="TN-018"/>
    <x v="22"/>
    <x v="3"/>
    <x v="1"/>
    <x v="3"/>
    <x v="3"/>
    <x v="0"/>
    <x v="1"/>
    <x v="2"/>
    <x v="0"/>
    <x v="0"/>
    <x v="3"/>
    <n v="263200"/>
  </r>
  <r>
    <n v="32"/>
    <s v="TN-002"/>
    <x v="8"/>
    <x v="0"/>
    <x v="2"/>
    <x v="5"/>
    <x v="5"/>
    <x v="0"/>
    <x v="0"/>
    <x v="0"/>
    <x v="2"/>
    <x v="2"/>
    <x v="7"/>
    <n v="360400"/>
  </r>
  <r>
    <n v="33"/>
    <s v="TN-014"/>
    <x v="2"/>
    <x v="2"/>
    <x v="0"/>
    <x v="0"/>
    <x v="0"/>
    <x v="0"/>
    <x v="4"/>
    <x v="5"/>
    <x v="2"/>
    <x v="2"/>
    <x v="2"/>
    <n v="300000"/>
  </r>
  <r>
    <n v="34"/>
    <s v="TN-015"/>
    <x v="3"/>
    <x v="1"/>
    <x v="1"/>
    <x v="2"/>
    <x v="2"/>
    <x v="0"/>
    <x v="2"/>
    <x v="3"/>
    <x v="2"/>
    <x v="2"/>
    <x v="3"/>
    <n v="262800"/>
  </r>
  <r>
    <n v="35"/>
    <s v="TN-016"/>
    <x v="3"/>
    <x v="0"/>
    <x v="1"/>
    <x v="2"/>
    <x v="2"/>
    <x v="0"/>
    <x v="3"/>
    <x v="4"/>
    <x v="2"/>
    <x v="2"/>
    <x v="3"/>
    <n v="267600"/>
  </r>
  <r>
    <n v="36"/>
    <s v="TN-017"/>
    <x v="3"/>
    <x v="1"/>
    <x v="1"/>
    <x v="2"/>
    <x v="2"/>
    <x v="0"/>
    <x v="4"/>
    <x v="5"/>
    <x v="2"/>
    <x v="2"/>
    <x v="3"/>
    <n v="270000"/>
  </r>
  <r>
    <n v="37"/>
    <s v="TN-034"/>
    <x v="11"/>
    <x v="2"/>
    <x v="3"/>
    <x v="8"/>
    <x v="8"/>
    <x v="0"/>
    <x v="1"/>
    <x v="2"/>
    <x v="2"/>
    <x v="2"/>
    <x v="10"/>
    <n v="185200"/>
  </r>
  <r>
    <n v="38"/>
    <s v="TN-035"/>
    <x v="11"/>
    <x v="2"/>
    <x v="3"/>
    <x v="8"/>
    <x v="8"/>
    <x v="0"/>
    <x v="0"/>
    <x v="0"/>
    <x v="1"/>
    <x v="1"/>
    <x v="10"/>
    <n v="172400"/>
  </r>
  <r>
    <n v="39"/>
    <s v="TN-031"/>
    <x v="12"/>
    <x v="3"/>
    <x v="3"/>
    <x v="9"/>
    <x v="9"/>
    <x v="0"/>
    <x v="1"/>
    <x v="2"/>
    <x v="1"/>
    <x v="1"/>
    <x v="10"/>
    <n v="187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9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2:E16" firstHeaderRow="0" firstDataRow="1" firstDataCol="2"/>
  <pivotFields count="14">
    <pivotField compact="0" outline="0" showAll="0" defaultSubtotal="0"/>
    <pivotField compact="0" outline="0" showAll="0" defaultSubtotal="0"/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axis="axisRow" compact="0" outline="0" showAll="0" defaultSubtotal="0">
      <items count="4">
        <item x="2"/>
        <item x="0"/>
        <item x="1"/>
        <item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2"/>
  </rowFields>
  <rowItems count="14">
    <i>
      <x/>
      <x v="2"/>
    </i>
    <i r="1">
      <x v="3"/>
    </i>
    <i r="1">
      <x v="12"/>
    </i>
    <i>
      <x v="1"/>
      <x v="1"/>
    </i>
    <i r="1">
      <x v="2"/>
    </i>
    <i r="1">
      <x v="3"/>
    </i>
    <i r="1">
      <x v="4"/>
    </i>
    <i>
      <x v="2"/>
      <x v="1"/>
    </i>
    <i r="1">
      <x v="2"/>
    </i>
    <i r="1">
      <x v="3"/>
    </i>
    <i>
      <x v="3"/>
      <x v="1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배우자" fld="7" baseField="0" baseItem="0"/>
    <dataField name="합계 : 부양가족" fld="8" baseField="0" baseItem="0"/>
  </dataFields>
  <formats count="1">
    <format dxfId="0">
      <pivotArea outline="0" collapsedLevelsAreSubtotals="1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" connectionId="2" xr16:uid="{00000000-0016-0000-0000-000000000000}" autoFormatId="16" applyNumberFormats="0" applyBorderFormats="0" applyFontFormats="1" applyPatternFormats="1" applyAlignmentFormats="0" applyWidthHeightFormats="0">
  <queryTableRefresh nextId="10">
    <queryTableFields count="9">
      <queryTableField id="1" name="고객번호"/>
      <queryTableField id="2" name="이름"/>
      <queryTableField id="3" name="성별"/>
      <queryTableField id="4" name="지역"/>
      <queryTableField id="5" name="최종주문일"/>
      <queryTableField id="6" name="1월 구매실적"/>
      <queryTableField id="7" name="2월 구매실적"/>
      <queryTableField id="8" name="3월 구매실적"/>
      <queryTableField id="9" name="구매실적합계"/>
    </queryTableFields>
    <sortState xmlns:xlrd2="http://schemas.microsoft.com/office/spreadsheetml/2017/richdata2" ref="A4:I20">
      <sortCondition ref="B3"/>
    </sortState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J30"/>
  <sheetViews>
    <sheetView tabSelected="1" workbookViewId="0">
      <selection activeCell="B1" sqref="B1"/>
    </sheetView>
  </sheetViews>
  <sheetFormatPr defaultRowHeight="16.5"/>
  <cols>
    <col min="1" max="1" width="3.25" customWidth="1"/>
    <col min="5" max="5" width="10.875" bestFit="1" customWidth="1"/>
    <col min="6" max="6" width="11" bestFit="1" customWidth="1"/>
    <col min="7" max="9" width="12.875" bestFit="1" customWidth="1"/>
    <col min="10" max="10" width="13" bestFit="1" customWidth="1"/>
  </cols>
  <sheetData>
    <row r="2" spans="2:10" s="5" customFormat="1">
      <c r="B2" s="35" t="s">
        <v>0</v>
      </c>
      <c r="C2" s="35" t="s">
        <v>1</v>
      </c>
      <c r="D2" s="35" t="s">
        <v>2</v>
      </c>
      <c r="E2" s="35" t="s">
        <v>3</v>
      </c>
      <c r="F2" s="35" t="s">
        <v>4</v>
      </c>
      <c r="G2" s="35" t="s">
        <v>5</v>
      </c>
      <c r="H2" s="35" t="s">
        <v>6</v>
      </c>
      <c r="I2" s="35" t="s">
        <v>7</v>
      </c>
      <c r="J2" s="35" t="s">
        <v>8</v>
      </c>
    </row>
    <row r="3" spans="2:10">
      <c r="B3" s="3" t="s">
        <v>15</v>
      </c>
      <c r="C3" s="3" t="s">
        <v>37</v>
      </c>
      <c r="D3" s="3" t="s">
        <v>49</v>
      </c>
      <c r="E3" s="3" t="s">
        <v>16</v>
      </c>
      <c r="F3" s="2">
        <v>43908</v>
      </c>
      <c r="G3" s="4">
        <v>37000</v>
      </c>
      <c r="H3" s="4">
        <v>135000</v>
      </c>
      <c r="I3" s="4">
        <v>78000</v>
      </c>
      <c r="J3" s="4">
        <v>250000</v>
      </c>
    </row>
    <row r="4" spans="2:10">
      <c r="B4" s="3" t="s">
        <v>19</v>
      </c>
      <c r="C4" s="3" t="s">
        <v>34</v>
      </c>
      <c r="D4" s="3" t="s">
        <v>10</v>
      </c>
      <c r="E4" s="3" t="s">
        <v>11</v>
      </c>
      <c r="F4" s="2">
        <v>43935</v>
      </c>
      <c r="G4" s="4">
        <v>7700</v>
      </c>
      <c r="H4" s="4">
        <v>52200</v>
      </c>
      <c r="I4" s="4">
        <v>7700</v>
      </c>
      <c r="J4" s="4">
        <v>67600</v>
      </c>
    </row>
    <row r="5" spans="2:10">
      <c r="B5" s="3" t="s">
        <v>28</v>
      </c>
      <c r="C5" s="3" t="s">
        <v>35</v>
      </c>
      <c r="D5" s="3" t="s">
        <v>52</v>
      </c>
      <c r="E5" s="3" t="s">
        <v>11</v>
      </c>
      <c r="F5" s="2">
        <v>43845</v>
      </c>
      <c r="G5" s="4">
        <v>55000</v>
      </c>
      <c r="H5" s="4">
        <v>122500</v>
      </c>
      <c r="I5" s="4">
        <v>12500</v>
      </c>
      <c r="J5" s="4">
        <v>190000</v>
      </c>
    </row>
    <row r="6" spans="2:10">
      <c r="B6" s="3" t="s">
        <v>30</v>
      </c>
      <c r="C6" s="3" t="s">
        <v>56</v>
      </c>
      <c r="D6" s="3" t="s">
        <v>13</v>
      </c>
      <c r="E6" s="3" t="s">
        <v>14</v>
      </c>
      <c r="F6" s="2">
        <v>43842</v>
      </c>
      <c r="G6" s="4">
        <v>12500</v>
      </c>
      <c r="H6" s="4">
        <v>5800</v>
      </c>
      <c r="I6" s="4">
        <v>22020</v>
      </c>
      <c r="J6" s="4">
        <v>40320</v>
      </c>
    </row>
    <row r="7" spans="2:10">
      <c r="B7" s="3" t="s">
        <v>9</v>
      </c>
      <c r="C7" s="3" t="s">
        <v>39</v>
      </c>
      <c r="D7" s="3" t="s">
        <v>10</v>
      </c>
      <c r="E7" s="3" t="s">
        <v>11</v>
      </c>
      <c r="F7" s="2">
        <v>43848</v>
      </c>
      <c r="G7" s="4">
        <v>140520</v>
      </c>
      <c r="H7" s="4">
        <v>135000</v>
      </c>
      <c r="I7" s="4">
        <v>152000</v>
      </c>
      <c r="J7" s="4">
        <v>427520</v>
      </c>
    </row>
    <row r="8" spans="2:10">
      <c r="B8" s="3" t="s">
        <v>29</v>
      </c>
      <c r="C8" s="3" t="s">
        <v>46</v>
      </c>
      <c r="D8" s="3" t="s">
        <v>55</v>
      </c>
      <c r="E8" s="3" t="s">
        <v>18</v>
      </c>
      <c r="F8" s="2">
        <v>43869</v>
      </c>
      <c r="G8" s="4">
        <v>5800</v>
      </c>
      <c r="H8" s="4">
        <v>135000</v>
      </c>
      <c r="I8" s="4">
        <v>2020</v>
      </c>
      <c r="J8" s="4">
        <v>142820</v>
      </c>
    </row>
    <row r="9" spans="2:10">
      <c r="B9" s="3" t="s">
        <v>31</v>
      </c>
      <c r="C9" s="3" t="s">
        <v>57</v>
      </c>
      <c r="D9" s="3" t="s">
        <v>49</v>
      </c>
      <c r="E9" s="3" t="s">
        <v>11</v>
      </c>
      <c r="F9" s="2">
        <v>43903</v>
      </c>
      <c r="G9" s="4">
        <v>7000</v>
      </c>
      <c r="H9" s="4">
        <v>38700</v>
      </c>
      <c r="I9" s="4">
        <v>122500</v>
      </c>
      <c r="J9" s="4">
        <v>168200</v>
      </c>
    </row>
    <row r="10" spans="2:10">
      <c r="B10" s="3" t="s">
        <v>22</v>
      </c>
      <c r="C10" s="3" t="s">
        <v>44</v>
      </c>
      <c r="D10" s="3" t="s">
        <v>51</v>
      </c>
      <c r="E10" s="3" t="s">
        <v>14</v>
      </c>
      <c r="F10" s="2">
        <v>43924</v>
      </c>
      <c r="G10" s="4">
        <v>52200</v>
      </c>
      <c r="H10" s="4">
        <v>14560</v>
      </c>
      <c r="I10" s="4">
        <v>38700</v>
      </c>
      <c r="J10" s="4">
        <v>105460</v>
      </c>
    </row>
    <row r="11" spans="2:10">
      <c r="B11" s="3" t="s">
        <v>23</v>
      </c>
      <c r="C11" s="3" t="s">
        <v>43</v>
      </c>
      <c r="D11" s="3" t="s">
        <v>10</v>
      </c>
      <c r="E11" s="3" t="s">
        <v>18</v>
      </c>
      <c r="F11" s="2">
        <v>43852</v>
      </c>
      <c r="G11" s="4">
        <v>38700</v>
      </c>
      <c r="H11" s="4">
        <v>37000</v>
      </c>
      <c r="I11" s="4">
        <v>14560</v>
      </c>
      <c r="J11" s="4">
        <v>90260</v>
      </c>
    </row>
    <row r="12" spans="2:10">
      <c r="B12" s="3" t="s">
        <v>27</v>
      </c>
      <c r="C12" s="3" t="s">
        <v>33</v>
      </c>
      <c r="D12" s="3" t="s">
        <v>52</v>
      </c>
      <c r="E12" s="3" t="s">
        <v>16</v>
      </c>
      <c r="F12" s="2">
        <v>43853</v>
      </c>
      <c r="G12" s="4">
        <v>135000</v>
      </c>
      <c r="H12" s="4">
        <v>178000</v>
      </c>
      <c r="I12" s="4">
        <v>120200</v>
      </c>
      <c r="J12" s="4">
        <v>433200</v>
      </c>
    </row>
    <row r="13" spans="2:10">
      <c r="B13" s="3" t="s">
        <v>17</v>
      </c>
      <c r="C13" s="3" t="s">
        <v>47</v>
      </c>
      <c r="D13" s="3" t="s">
        <v>10</v>
      </c>
      <c r="E13" s="3" t="s">
        <v>18</v>
      </c>
      <c r="F13" s="2">
        <v>43973</v>
      </c>
      <c r="G13" s="4">
        <v>38700</v>
      </c>
      <c r="H13" s="4">
        <v>21020</v>
      </c>
      <c r="I13" s="4">
        <v>37000</v>
      </c>
      <c r="J13" s="4">
        <v>96720</v>
      </c>
    </row>
    <row r="14" spans="2:10">
      <c r="B14" s="3" t="s">
        <v>12</v>
      </c>
      <c r="C14" s="3" t="s">
        <v>38</v>
      </c>
      <c r="D14" s="3" t="s">
        <v>48</v>
      </c>
      <c r="E14" s="3" t="s">
        <v>14</v>
      </c>
      <c r="F14" s="2">
        <v>43852</v>
      </c>
      <c r="G14" s="4">
        <v>122500</v>
      </c>
      <c r="H14" s="4">
        <v>140520</v>
      </c>
      <c r="I14" s="4">
        <v>78000</v>
      </c>
      <c r="J14" s="4">
        <v>341020</v>
      </c>
    </row>
    <row r="15" spans="2:10">
      <c r="B15" s="3" t="s">
        <v>20</v>
      </c>
      <c r="C15" s="3" t="s">
        <v>40</v>
      </c>
      <c r="D15" s="3" t="s">
        <v>10</v>
      </c>
      <c r="E15" s="3" t="s">
        <v>16</v>
      </c>
      <c r="F15" s="2">
        <v>43972</v>
      </c>
      <c r="G15" s="4">
        <v>135000</v>
      </c>
      <c r="H15" s="4">
        <v>55000</v>
      </c>
      <c r="I15" s="4">
        <v>135000</v>
      </c>
      <c r="J15" s="4">
        <v>325000</v>
      </c>
    </row>
    <row r="16" spans="2:10">
      <c r="B16" s="3" t="s">
        <v>24</v>
      </c>
      <c r="C16" s="3" t="s">
        <v>36</v>
      </c>
      <c r="D16" s="3" t="s">
        <v>52</v>
      </c>
      <c r="E16" s="3" t="s">
        <v>14</v>
      </c>
      <c r="F16" s="2">
        <v>43943</v>
      </c>
      <c r="G16" s="4">
        <v>11250</v>
      </c>
      <c r="H16" s="4">
        <v>22020</v>
      </c>
      <c r="I16" s="4">
        <v>52200</v>
      </c>
      <c r="J16" s="4">
        <v>85470</v>
      </c>
    </row>
    <row r="17" spans="2:10">
      <c r="B17" s="3" t="s">
        <v>25</v>
      </c>
      <c r="C17" s="3" t="s">
        <v>42</v>
      </c>
      <c r="D17" s="3" t="s">
        <v>53</v>
      </c>
      <c r="E17" s="3" t="s">
        <v>18</v>
      </c>
      <c r="F17" s="2">
        <v>43906</v>
      </c>
      <c r="G17" s="4">
        <v>78000</v>
      </c>
      <c r="H17" s="4">
        <v>2020</v>
      </c>
      <c r="I17" s="4">
        <v>135000</v>
      </c>
      <c r="J17" s="4">
        <v>215020</v>
      </c>
    </row>
    <row r="18" spans="2:10">
      <c r="B18" s="3" t="s">
        <v>21</v>
      </c>
      <c r="C18" s="3" t="s">
        <v>41</v>
      </c>
      <c r="D18" s="3" t="s">
        <v>50</v>
      </c>
      <c r="E18" s="3" t="s">
        <v>14</v>
      </c>
      <c r="F18" s="2">
        <v>43901</v>
      </c>
      <c r="G18" s="4">
        <v>37000</v>
      </c>
      <c r="H18" s="4">
        <v>38000</v>
      </c>
      <c r="I18" s="4">
        <v>29000</v>
      </c>
      <c r="J18" s="4">
        <v>104000</v>
      </c>
    </row>
    <row r="19" spans="2:10">
      <c r="B19" s="3" t="s">
        <v>32</v>
      </c>
      <c r="C19" s="3" t="s">
        <v>58</v>
      </c>
      <c r="D19" s="3" t="s">
        <v>59</v>
      </c>
      <c r="E19" s="3" t="s">
        <v>11</v>
      </c>
      <c r="F19" s="2">
        <v>43933</v>
      </c>
      <c r="G19" s="4">
        <v>38700</v>
      </c>
      <c r="H19" s="4">
        <v>78000</v>
      </c>
      <c r="I19" s="4">
        <v>38700</v>
      </c>
      <c r="J19" s="4">
        <v>155400</v>
      </c>
    </row>
    <row r="20" spans="2:10">
      <c r="B20" s="3" t="s">
        <v>26</v>
      </c>
      <c r="C20" s="3" t="s">
        <v>45</v>
      </c>
      <c r="D20" s="3" t="s">
        <v>54</v>
      </c>
      <c r="E20" s="3" t="s">
        <v>16</v>
      </c>
      <c r="F20" s="2">
        <v>43943</v>
      </c>
      <c r="G20" s="4">
        <v>2020</v>
      </c>
      <c r="H20" s="4">
        <v>80250</v>
      </c>
      <c r="I20" s="4">
        <v>11250</v>
      </c>
      <c r="J20" s="4">
        <v>93520</v>
      </c>
    </row>
    <row r="22" spans="2:10">
      <c r="B22" s="36" t="s">
        <v>155</v>
      </c>
    </row>
    <row r="23" spans="2:10">
      <c r="B23" t="b">
        <f>AND(LEFT($B3,2)="PR",OR(MONTH($F3)=3,MONTH($F3)=4))</f>
        <v>0</v>
      </c>
    </row>
    <row r="26" spans="2:10">
      <c r="B26" s="35" t="s">
        <v>1</v>
      </c>
      <c r="C26" s="35" t="s">
        <v>2</v>
      </c>
      <c r="D26" s="35" t="s">
        <v>3</v>
      </c>
      <c r="E26" s="35" t="s">
        <v>4</v>
      </c>
    </row>
    <row r="27" spans="2:10">
      <c r="B27" s="3" t="s">
        <v>44</v>
      </c>
      <c r="C27" s="3" t="s">
        <v>49</v>
      </c>
      <c r="D27" s="3" t="s">
        <v>14</v>
      </c>
      <c r="E27" s="2">
        <v>43924</v>
      </c>
    </row>
    <row r="28" spans="2:10">
      <c r="B28" s="3" t="s">
        <v>36</v>
      </c>
      <c r="C28" s="3" t="s">
        <v>48</v>
      </c>
      <c r="D28" s="3" t="s">
        <v>14</v>
      </c>
      <c r="E28" s="2">
        <v>43943</v>
      </c>
    </row>
    <row r="29" spans="2:10">
      <c r="B29" s="3" t="s">
        <v>42</v>
      </c>
      <c r="C29" s="3" t="s">
        <v>49</v>
      </c>
      <c r="D29" s="3" t="s">
        <v>18</v>
      </c>
      <c r="E29" s="2">
        <v>43906</v>
      </c>
    </row>
    <row r="30" spans="2:10">
      <c r="B30" s="3" t="s">
        <v>45</v>
      </c>
      <c r="C30" s="3" t="s">
        <v>48</v>
      </c>
      <c r="D30" s="3" t="s">
        <v>16</v>
      </c>
      <c r="E30" s="2">
        <v>43943</v>
      </c>
    </row>
  </sheetData>
  <sortState xmlns:xlrd2="http://schemas.microsoft.com/office/spreadsheetml/2017/richdata2" ref="A3:J20">
    <sortCondition ref="A2"/>
  </sortState>
  <phoneticPr fontId="1" type="noConversion"/>
  <conditionalFormatting sqref="B3:J20">
    <cfRule type="expression" dxfId="1" priority="1">
      <formula>MOD(ROW($B3),2)=0</formula>
    </cfRule>
  </conditionalFormatting>
  <pageMargins left="0.7" right="0.7" top="0.75" bottom="0.75" header="0.3" footer="0.3"/>
  <pageSetup paperSize="9" orientation="landscape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O41"/>
  <sheetViews>
    <sheetView topLeftCell="B1" workbookViewId="0">
      <selection activeCell="E27" sqref="E27"/>
    </sheetView>
  </sheetViews>
  <sheetFormatPr defaultRowHeight="16.5"/>
  <cols>
    <col min="2" max="2" width="7" customWidth="1"/>
    <col min="3" max="3" width="10.625" customWidth="1"/>
    <col min="4" max="4" width="15.25" bestFit="1" customWidth="1"/>
    <col min="5" max="6" width="7" customWidth="1"/>
    <col min="8" max="8" width="12.375" customWidth="1"/>
    <col min="10" max="11" width="10.625" customWidth="1"/>
    <col min="13" max="14" width="10.625" customWidth="1"/>
    <col min="15" max="15" width="7.375" customWidth="1"/>
  </cols>
  <sheetData>
    <row r="2" spans="2:15">
      <c r="B2" s="24" t="s">
        <v>156</v>
      </c>
      <c r="C2" s="25" t="s">
        <v>146</v>
      </c>
      <c r="D2" s="25" t="s">
        <v>147</v>
      </c>
      <c r="E2" s="25" t="s">
        <v>150</v>
      </c>
      <c r="F2" s="25" t="s">
        <v>149</v>
      </c>
      <c r="G2" s="25" t="s">
        <v>148</v>
      </c>
      <c r="H2" s="25" t="s">
        <v>157</v>
      </c>
      <c r="I2" s="25" t="s">
        <v>158</v>
      </c>
      <c r="J2" s="25" t="s">
        <v>159</v>
      </c>
      <c r="K2" s="25" t="s">
        <v>160</v>
      </c>
      <c r="L2" s="25" t="s">
        <v>161</v>
      </c>
      <c r="M2" s="25" t="s">
        <v>162</v>
      </c>
      <c r="N2" s="25" t="s">
        <v>163</v>
      </c>
      <c r="O2" s="26" t="s">
        <v>164</v>
      </c>
    </row>
    <row r="3" spans="2:15">
      <c r="B3" s="27">
        <v>1</v>
      </c>
      <c r="C3" s="29" t="s">
        <v>165</v>
      </c>
      <c r="D3" s="28">
        <v>41334</v>
      </c>
      <c r="E3" s="29" t="s">
        <v>153</v>
      </c>
      <c r="F3" s="29" t="s">
        <v>166</v>
      </c>
      <c r="G3" s="29">
        <v>2800000</v>
      </c>
      <c r="H3" s="29">
        <v>575000</v>
      </c>
      <c r="I3" s="29">
        <v>1</v>
      </c>
      <c r="J3" s="29">
        <v>0</v>
      </c>
      <c r="K3" s="29">
        <v>30000</v>
      </c>
      <c r="L3" s="29">
        <v>2</v>
      </c>
      <c r="M3" s="29">
        <v>200000</v>
      </c>
      <c r="N3" s="29">
        <v>7</v>
      </c>
      <c r="O3" s="30">
        <v>298400</v>
      </c>
    </row>
    <row r="4" spans="2:15">
      <c r="B4" s="31">
        <v>2</v>
      </c>
      <c r="C4" s="33" t="s">
        <v>167</v>
      </c>
      <c r="D4" s="32">
        <v>40909</v>
      </c>
      <c r="E4" s="33" t="s">
        <v>168</v>
      </c>
      <c r="F4" s="33" t="s">
        <v>166</v>
      </c>
      <c r="G4" s="33">
        <v>2900000</v>
      </c>
      <c r="H4" s="33">
        <v>600000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8</v>
      </c>
      <c r="O4" s="34">
        <v>290000</v>
      </c>
    </row>
    <row r="5" spans="2:15">
      <c r="B5" s="27">
        <v>3</v>
      </c>
      <c r="C5" s="29" t="s">
        <v>169</v>
      </c>
      <c r="D5" s="28">
        <v>40909</v>
      </c>
      <c r="E5" s="29" t="s">
        <v>170</v>
      </c>
      <c r="F5" s="29" t="s">
        <v>166</v>
      </c>
      <c r="G5" s="29">
        <v>2900000</v>
      </c>
      <c r="H5" s="29">
        <v>600000</v>
      </c>
      <c r="I5" s="29">
        <v>1</v>
      </c>
      <c r="J5" s="29">
        <v>2</v>
      </c>
      <c r="K5" s="29">
        <v>90000</v>
      </c>
      <c r="L5" s="29">
        <v>1</v>
      </c>
      <c r="M5" s="29">
        <v>100000</v>
      </c>
      <c r="N5" s="29">
        <v>8</v>
      </c>
      <c r="O5" s="30">
        <v>305200</v>
      </c>
    </row>
    <row r="6" spans="2:15">
      <c r="B6" s="31">
        <v>4</v>
      </c>
      <c r="C6" s="33" t="s">
        <v>171</v>
      </c>
      <c r="D6" s="32">
        <v>41640</v>
      </c>
      <c r="E6" s="33" t="s">
        <v>170</v>
      </c>
      <c r="F6" s="33" t="s">
        <v>166</v>
      </c>
      <c r="G6" s="33">
        <v>2800000</v>
      </c>
      <c r="H6" s="33">
        <v>575000</v>
      </c>
      <c r="I6" s="33">
        <v>1</v>
      </c>
      <c r="J6" s="33">
        <v>0</v>
      </c>
      <c r="K6" s="33">
        <v>30000</v>
      </c>
      <c r="L6" s="33">
        <v>0</v>
      </c>
      <c r="M6" s="33">
        <v>0</v>
      </c>
      <c r="N6" s="33">
        <v>6</v>
      </c>
      <c r="O6" s="34">
        <v>282400</v>
      </c>
    </row>
    <row r="7" spans="2:15">
      <c r="B7" s="27">
        <v>5</v>
      </c>
      <c r="C7" s="29" t="s">
        <v>172</v>
      </c>
      <c r="D7" s="28">
        <v>42005</v>
      </c>
      <c r="E7" s="29" t="s">
        <v>168</v>
      </c>
      <c r="F7" s="29" t="s">
        <v>152</v>
      </c>
      <c r="G7" s="29">
        <v>2500000</v>
      </c>
      <c r="H7" s="29">
        <v>500000</v>
      </c>
      <c r="I7" s="29">
        <v>0</v>
      </c>
      <c r="J7" s="29">
        <v>2</v>
      </c>
      <c r="K7" s="29">
        <v>60000</v>
      </c>
      <c r="L7" s="29">
        <v>0</v>
      </c>
      <c r="M7" s="29">
        <v>0</v>
      </c>
      <c r="N7" s="29">
        <v>5</v>
      </c>
      <c r="O7" s="30">
        <v>254800</v>
      </c>
    </row>
    <row r="8" spans="2:15">
      <c r="B8" s="31">
        <v>6</v>
      </c>
      <c r="C8" s="33" t="s">
        <v>151</v>
      </c>
      <c r="D8" s="32">
        <v>42005</v>
      </c>
      <c r="E8" s="33" t="s">
        <v>153</v>
      </c>
      <c r="F8" s="33" t="s">
        <v>152</v>
      </c>
      <c r="G8" s="33">
        <v>2500000</v>
      </c>
      <c r="H8" s="33">
        <v>500000</v>
      </c>
      <c r="I8" s="33">
        <v>0</v>
      </c>
      <c r="J8" s="33">
        <v>1</v>
      </c>
      <c r="K8" s="33">
        <v>30000</v>
      </c>
      <c r="L8" s="33">
        <v>1</v>
      </c>
      <c r="M8" s="33">
        <v>100000</v>
      </c>
      <c r="N8" s="33">
        <v>5</v>
      </c>
      <c r="O8" s="34">
        <v>260400</v>
      </c>
    </row>
    <row r="9" spans="2:15">
      <c r="B9" s="27">
        <v>7</v>
      </c>
      <c r="C9" s="29" t="s">
        <v>173</v>
      </c>
      <c r="D9" s="28">
        <v>42005</v>
      </c>
      <c r="E9" s="29" t="s">
        <v>168</v>
      </c>
      <c r="F9" s="29" t="s">
        <v>152</v>
      </c>
      <c r="G9" s="29">
        <v>2500000</v>
      </c>
      <c r="H9" s="29">
        <v>500000</v>
      </c>
      <c r="I9" s="29">
        <v>0</v>
      </c>
      <c r="J9" s="29">
        <v>2</v>
      </c>
      <c r="K9" s="29">
        <v>60000</v>
      </c>
      <c r="L9" s="29">
        <v>2</v>
      </c>
      <c r="M9" s="29">
        <v>200000</v>
      </c>
      <c r="N9" s="29">
        <v>5</v>
      </c>
      <c r="O9" s="30">
        <v>270800</v>
      </c>
    </row>
    <row r="10" spans="2:15">
      <c r="B10" s="31">
        <v>8</v>
      </c>
      <c r="C10" s="33" t="s">
        <v>154</v>
      </c>
      <c r="D10" s="32">
        <v>42736</v>
      </c>
      <c r="E10" s="33" t="s">
        <v>153</v>
      </c>
      <c r="F10" s="33" t="s">
        <v>152</v>
      </c>
      <c r="G10" s="33">
        <v>2400000</v>
      </c>
      <c r="H10" s="33">
        <v>475000</v>
      </c>
      <c r="I10" s="33">
        <v>0</v>
      </c>
      <c r="J10" s="33">
        <v>1</v>
      </c>
      <c r="K10" s="33">
        <v>30000</v>
      </c>
      <c r="L10" s="33">
        <v>0</v>
      </c>
      <c r="M10" s="33">
        <v>0</v>
      </c>
      <c r="N10" s="33">
        <v>3</v>
      </c>
      <c r="O10" s="34">
        <v>242400</v>
      </c>
    </row>
    <row r="11" spans="2:15">
      <c r="B11" s="27">
        <v>9</v>
      </c>
      <c r="C11" s="29" t="s">
        <v>174</v>
      </c>
      <c r="D11" s="28">
        <v>42405</v>
      </c>
      <c r="E11" s="29" t="s">
        <v>175</v>
      </c>
      <c r="F11" s="29" t="s">
        <v>152</v>
      </c>
      <c r="G11" s="29">
        <v>2400000</v>
      </c>
      <c r="H11" s="29">
        <v>475000</v>
      </c>
      <c r="I11" s="29">
        <v>0</v>
      </c>
      <c r="J11" s="29">
        <v>0</v>
      </c>
      <c r="K11" s="29">
        <v>0</v>
      </c>
      <c r="L11" s="29">
        <v>1</v>
      </c>
      <c r="M11" s="29">
        <v>100000</v>
      </c>
      <c r="N11" s="29">
        <v>4</v>
      </c>
      <c r="O11" s="30">
        <v>248000</v>
      </c>
    </row>
    <row r="12" spans="2:15">
      <c r="B12" s="31">
        <v>10</v>
      </c>
      <c r="C12" s="33" t="s">
        <v>176</v>
      </c>
      <c r="D12" s="32">
        <v>42401</v>
      </c>
      <c r="E12" s="33" t="s">
        <v>170</v>
      </c>
      <c r="F12" s="33" t="s">
        <v>152</v>
      </c>
      <c r="G12" s="33">
        <v>2400000</v>
      </c>
      <c r="H12" s="33">
        <v>475000</v>
      </c>
      <c r="I12" s="33">
        <v>1</v>
      </c>
      <c r="J12" s="33">
        <v>3</v>
      </c>
      <c r="K12" s="33">
        <v>120000</v>
      </c>
      <c r="L12" s="33">
        <v>1</v>
      </c>
      <c r="M12" s="33">
        <v>100000</v>
      </c>
      <c r="N12" s="33">
        <v>4</v>
      </c>
      <c r="O12" s="34">
        <v>257600</v>
      </c>
    </row>
    <row r="13" spans="2:15">
      <c r="B13" s="27">
        <v>11</v>
      </c>
      <c r="C13" s="29" t="s">
        <v>177</v>
      </c>
      <c r="D13" s="28">
        <v>39479</v>
      </c>
      <c r="E13" s="29" t="s">
        <v>168</v>
      </c>
      <c r="F13" s="29" t="s">
        <v>178</v>
      </c>
      <c r="G13" s="29">
        <v>3400000</v>
      </c>
      <c r="H13" s="29">
        <v>725000</v>
      </c>
      <c r="I13" s="29">
        <v>1</v>
      </c>
      <c r="J13" s="29">
        <v>0</v>
      </c>
      <c r="K13" s="29">
        <v>30000</v>
      </c>
      <c r="L13" s="29">
        <v>3</v>
      </c>
      <c r="M13" s="29">
        <v>300000</v>
      </c>
      <c r="N13" s="29">
        <v>12</v>
      </c>
      <c r="O13" s="30">
        <v>366400</v>
      </c>
    </row>
    <row r="14" spans="2:15">
      <c r="B14" s="31">
        <v>12</v>
      </c>
      <c r="C14" s="33" t="s">
        <v>179</v>
      </c>
      <c r="D14" s="32">
        <v>39114</v>
      </c>
      <c r="E14" s="33" t="s">
        <v>153</v>
      </c>
      <c r="F14" s="33" t="s">
        <v>178</v>
      </c>
      <c r="G14" s="33">
        <v>3500000</v>
      </c>
      <c r="H14" s="33">
        <v>750000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33">
        <v>13</v>
      </c>
      <c r="O14" s="34">
        <v>350000</v>
      </c>
    </row>
    <row r="15" spans="2:15">
      <c r="B15" s="27">
        <v>13</v>
      </c>
      <c r="C15" s="29" t="s">
        <v>180</v>
      </c>
      <c r="D15" s="28">
        <v>43160</v>
      </c>
      <c r="E15" s="29" t="s">
        <v>170</v>
      </c>
      <c r="F15" s="29" t="s">
        <v>181</v>
      </c>
      <c r="G15" s="29">
        <v>2000000</v>
      </c>
      <c r="H15" s="29">
        <v>375000</v>
      </c>
      <c r="I15" s="29">
        <v>1</v>
      </c>
      <c r="J15" s="29">
        <v>0</v>
      </c>
      <c r="K15" s="29">
        <v>30000</v>
      </c>
      <c r="L15" s="29">
        <v>1</v>
      </c>
      <c r="M15" s="29">
        <v>100000</v>
      </c>
      <c r="N15" s="29">
        <v>2</v>
      </c>
      <c r="O15" s="30">
        <v>210400</v>
      </c>
    </row>
    <row r="16" spans="2:15">
      <c r="B16" s="31">
        <v>14</v>
      </c>
      <c r="C16" s="33" t="s">
        <v>182</v>
      </c>
      <c r="D16" s="32">
        <v>43467</v>
      </c>
      <c r="E16" s="33" t="s">
        <v>170</v>
      </c>
      <c r="F16" s="33" t="s">
        <v>181</v>
      </c>
      <c r="G16" s="33">
        <v>1900000</v>
      </c>
      <c r="H16" s="33">
        <v>350000</v>
      </c>
      <c r="I16" s="33">
        <v>0</v>
      </c>
      <c r="J16" s="33">
        <v>0</v>
      </c>
      <c r="K16" s="33">
        <v>0</v>
      </c>
      <c r="L16" s="33">
        <v>1</v>
      </c>
      <c r="M16" s="33">
        <v>100000</v>
      </c>
      <c r="N16" s="33">
        <v>1</v>
      </c>
      <c r="O16" s="34">
        <v>198000</v>
      </c>
    </row>
    <row r="17" spans="2:15">
      <c r="B17" s="27">
        <v>15</v>
      </c>
      <c r="C17" s="29" t="s">
        <v>183</v>
      </c>
      <c r="D17" s="28">
        <v>43160</v>
      </c>
      <c r="E17" s="29" t="s">
        <v>153</v>
      </c>
      <c r="F17" s="29" t="s">
        <v>181</v>
      </c>
      <c r="G17" s="29">
        <v>2000000</v>
      </c>
      <c r="H17" s="29">
        <v>375000</v>
      </c>
      <c r="I17" s="29">
        <v>1</v>
      </c>
      <c r="J17" s="29">
        <v>1</v>
      </c>
      <c r="K17" s="29">
        <v>60000</v>
      </c>
      <c r="L17" s="29">
        <v>0</v>
      </c>
      <c r="M17" s="29">
        <v>0</v>
      </c>
      <c r="N17" s="29">
        <v>2</v>
      </c>
      <c r="O17" s="30">
        <v>204800</v>
      </c>
    </row>
    <row r="18" spans="2:15">
      <c r="B18" s="31">
        <v>16</v>
      </c>
      <c r="C18" s="33" t="s">
        <v>184</v>
      </c>
      <c r="D18" s="32">
        <v>43831</v>
      </c>
      <c r="E18" s="33" t="s">
        <v>170</v>
      </c>
      <c r="F18" s="33" t="s">
        <v>181</v>
      </c>
      <c r="G18" s="33">
        <v>1700000</v>
      </c>
      <c r="H18" s="33">
        <v>300000</v>
      </c>
      <c r="I18" s="33">
        <v>1</v>
      </c>
      <c r="J18" s="33">
        <v>4</v>
      </c>
      <c r="K18" s="33">
        <v>150000</v>
      </c>
      <c r="L18" s="33">
        <v>0</v>
      </c>
      <c r="M18" s="33">
        <v>0</v>
      </c>
      <c r="N18" s="33">
        <v>0</v>
      </c>
      <c r="O18" s="34">
        <v>182000</v>
      </c>
    </row>
    <row r="19" spans="2:15">
      <c r="B19" s="27">
        <v>17</v>
      </c>
      <c r="C19" s="29" t="s">
        <v>185</v>
      </c>
      <c r="D19" s="28">
        <v>43862</v>
      </c>
      <c r="E19" s="29" t="s">
        <v>175</v>
      </c>
      <c r="F19" s="29" t="s">
        <v>181</v>
      </c>
      <c r="G19" s="29">
        <v>1800000</v>
      </c>
      <c r="H19" s="29">
        <v>325000</v>
      </c>
      <c r="I19" s="29">
        <v>1</v>
      </c>
      <c r="J19" s="29">
        <v>0</v>
      </c>
      <c r="K19" s="29">
        <v>30000</v>
      </c>
      <c r="L19" s="29">
        <v>0</v>
      </c>
      <c r="M19" s="29">
        <v>0</v>
      </c>
      <c r="N19" s="29">
        <v>0</v>
      </c>
      <c r="O19" s="30">
        <v>182400</v>
      </c>
    </row>
    <row r="20" spans="2:15">
      <c r="B20" s="31">
        <v>18</v>
      </c>
      <c r="C20" s="33" t="s">
        <v>186</v>
      </c>
      <c r="D20" s="32">
        <v>43466</v>
      </c>
      <c r="E20" s="33" t="s">
        <v>153</v>
      </c>
      <c r="F20" s="33" t="s">
        <v>181</v>
      </c>
      <c r="G20" s="33">
        <v>1900000</v>
      </c>
      <c r="H20" s="33">
        <v>350000</v>
      </c>
      <c r="I20" s="33">
        <v>0</v>
      </c>
      <c r="J20" s="33">
        <v>0</v>
      </c>
      <c r="K20" s="33">
        <v>0</v>
      </c>
      <c r="L20" s="33">
        <v>1</v>
      </c>
      <c r="M20" s="33">
        <v>100000</v>
      </c>
      <c r="N20" s="33">
        <v>1</v>
      </c>
      <c r="O20" s="34">
        <v>198000</v>
      </c>
    </row>
    <row r="21" spans="2:15">
      <c r="B21" s="27">
        <v>19</v>
      </c>
      <c r="C21" s="29" t="s">
        <v>187</v>
      </c>
      <c r="D21" s="28">
        <v>43497</v>
      </c>
      <c r="E21" s="29" t="s">
        <v>153</v>
      </c>
      <c r="F21" s="29" t="s">
        <v>181</v>
      </c>
      <c r="G21" s="29">
        <v>1900000</v>
      </c>
      <c r="H21" s="29">
        <v>350000</v>
      </c>
      <c r="I21" s="29">
        <v>0</v>
      </c>
      <c r="J21" s="29">
        <v>2</v>
      </c>
      <c r="K21" s="29">
        <v>60000</v>
      </c>
      <c r="L21" s="29">
        <v>0</v>
      </c>
      <c r="M21" s="29">
        <v>0</v>
      </c>
      <c r="N21" s="29">
        <v>1</v>
      </c>
      <c r="O21" s="30">
        <v>194800</v>
      </c>
    </row>
    <row r="22" spans="2:15">
      <c r="B22" s="31">
        <v>20</v>
      </c>
      <c r="C22" s="33" t="s">
        <v>188</v>
      </c>
      <c r="D22" s="32">
        <v>39874</v>
      </c>
      <c r="E22" s="33" t="s">
        <v>170</v>
      </c>
      <c r="F22" s="33" t="s">
        <v>178</v>
      </c>
      <c r="G22" s="33">
        <v>3400000</v>
      </c>
      <c r="H22" s="33">
        <v>725000</v>
      </c>
      <c r="I22" s="33">
        <v>1</v>
      </c>
      <c r="J22" s="33">
        <v>3</v>
      </c>
      <c r="K22" s="33">
        <v>120000</v>
      </c>
      <c r="L22" s="33">
        <v>0</v>
      </c>
      <c r="M22" s="33">
        <v>0</v>
      </c>
      <c r="N22" s="33">
        <v>11</v>
      </c>
      <c r="O22" s="34">
        <v>349600</v>
      </c>
    </row>
    <row r="23" spans="2:15">
      <c r="B23" s="27">
        <v>21</v>
      </c>
      <c r="C23" s="29" t="s">
        <v>189</v>
      </c>
      <c r="D23" s="28">
        <v>40513</v>
      </c>
      <c r="E23" s="29" t="s">
        <v>175</v>
      </c>
      <c r="F23" s="29" t="s">
        <v>178</v>
      </c>
      <c r="G23" s="29">
        <v>3000000</v>
      </c>
      <c r="H23" s="29">
        <v>625000</v>
      </c>
      <c r="I23" s="29">
        <v>0</v>
      </c>
      <c r="J23" s="29">
        <v>1</v>
      </c>
      <c r="K23" s="29">
        <v>30000</v>
      </c>
      <c r="L23" s="29">
        <v>0</v>
      </c>
      <c r="M23" s="29">
        <v>0</v>
      </c>
      <c r="N23" s="29">
        <v>9</v>
      </c>
      <c r="O23" s="30">
        <v>302400</v>
      </c>
    </row>
    <row r="24" spans="2:15">
      <c r="B24" s="31">
        <v>22</v>
      </c>
      <c r="C24" s="33" t="s">
        <v>190</v>
      </c>
      <c r="D24" s="32">
        <v>43862</v>
      </c>
      <c r="E24" s="33" t="s">
        <v>175</v>
      </c>
      <c r="F24" s="33" t="s">
        <v>181</v>
      </c>
      <c r="G24" s="33">
        <v>1800000</v>
      </c>
      <c r="H24" s="33">
        <v>325000</v>
      </c>
      <c r="I24" s="33">
        <v>1</v>
      </c>
      <c r="J24" s="33">
        <v>3</v>
      </c>
      <c r="K24" s="33">
        <v>120000</v>
      </c>
      <c r="L24" s="33">
        <v>1</v>
      </c>
      <c r="M24" s="33">
        <v>100000</v>
      </c>
      <c r="N24" s="33">
        <v>0</v>
      </c>
      <c r="O24" s="34">
        <v>197600</v>
      </c>
    </row>
    <row r="25" spans="2:15">
      <c r="B25" s="27">
        <v>23</v>
      </c>
      <c r="C25" s="29" t="s">
        <v>191</v>
      </c>
      <c r="D25" s="28">
        <v>43831</v>
      </c>
      <c r="E25" s="29" t="s">
        <v>170</v>
      </c>
      <c r="F25" s="29" t="s">
        <v>181</v>
      </c>
      <c r="G25" s="29">
        <v>1700000</v>
      </c>
      <c r="H25" s="29">
        <v>300000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  <c r="O25" s="30">
        <v>170000</v>
      </c>
    </row>
    <row r="26" spans="2:15">
      <c r="B26" s="31">
        <v>24</v>
      </c>
      <c r="C26" s="33" t="s">
        <v>192</v>
      </c>
      <c r="D26" s="32">
        <v>39114</v>
      </c>
      <c r="E26" s="33" t="s">
        <v>170</v>
      </c>
      <c r="F26" s="33" t="s">
        <v>178</v>
      </c>
      <c r="G26" s="33">
        <v>3500000</v>
      </c>
      <c r="H26" s="33">
        <v>750000</v>
      </c>
      <c r="I26" s="33">
        <v>1</v>
      </c>
      <c r="J26" s="33">
        <v>2</v>
      </c>
      <c r="K26" s="33">
        <v>90000</v>
      </c>
      <c r="L26" s="33">
        <v>1</v>
      </c>
      <c r="M26" s="33">
        <v>100000</v>
      </c>
      <c r="N26" s="33">
        <v>13</v>
      </c>
      <c r="O26" s="34">
        <v>365200</v>
      </c>
    </row>
    <row r="27" spans="2:15">
      <c r="B27" s="27">
        <v>25</v>
      </c>
      <c r="C27" s="29" t="s">
        <v>193</v>
      </c>
      <c r="D27" s="28">
        <v>40238</v>
      </c>
      <c r="E27" s="29" t="s">
        <v>168</v>
      </c>
      <c r="F27" s="29" t="s">
        <v>166</v>
      </c>
      <c r="G27" s="29">
        <v>3000000</v>
      </c>
      <c r="H27" s="29">
        <v>625000</v>
      </c>
      <c r="I27" s="29">
        <v>1</v>
      </c>
      <c r="J27" s="29">
        <v>4</v>
      </c>
      <c r="K27" s="29">
        <v>150000</v>
      </c>
      <c r="L27" s="29">
        <v>0</v>
      </c>
      <c r="M27" s="29">
        <v>0</v>
      </c>
      <c r="N27" s="29">
        <v>10</v>
      </c>
      <c r="O27" s="30">
        <v>312000</v>
      </c>
    </row>
    <row r="28" spans="2:15">
      <c r="B28" s="31">
        <v>26</v>
      </c>
      <c r="C28" s="33" t="s">
        <v>194</v>
      </c>
      <c r="D28" s="32">
        <v>40575</v>
      </c>
      <c r="E28" s="33" t="s">
        <v>168</v>
      </c>
      <c r="F28" s="33" t="s">
        <v>166</v>
      </c>
      <c r="G28" s="33">
        <v>2900000</v>
      </c>
      <c r="H28" s="33">
        <v>600000</v>
      </c>
      <c r="I28" s="33">
        <v>0</v>
      </c>
      <c r="J28" s="33">
        <v>2</v>
      </c>
      <c r="K28" s="33">
        <v>60000</v>
      </c>
      <c r="L28" s="33">
        <v>0</v>
      </c>
      <c r="M28" s="33">
        <v>0</v>
      </c>
      <c r="N28" s="33">
        <v>9</v>
      </c>
      <c r="O28" s="34">
        <v>294800</v>
      </c>
    </row>
    <row r="29" spans="2:15">
      <c r="B29" s="27">
        <v>27</v>
      </c>
      <c r="C29" s="29" t="s">
        <v>195</v>
      </c>
      <c r="D29" s="28">
        <v>40210</v>
      </c>
      <c r="E29" s="29" t="s">
        <v>175</v>
      </c>
      <c r="F29" s="29" t="s">
        <v>166</v>
      </c>
      <c r="G29" s="29">
        <v>3000000</v>
      </c>
      <c r="H29" s="29">
        <v>625000</v>
      </c>
      <c r="I29" s="29">
        <v>1</v>
      </c>
      <c r="J29" s="29">
        <v>2</v>
      </c>
      <c r="K29" s="29">
        <v>90000</v>
      </c>
      <c r="L29" s="29">
        <v>2</v>
      </c>
      <c r="M29" s="29">
        <v>200000</v>
      </c>
      <c r="N29" s="29">
        <v>10</v>
      </c>
      <c r="O29" s="30">
        <v>323200</v>
      </c>
    </row>
    <row r="30" spans="2:15">
      <c r="B30" s="31">
        <v>28</v>
      </c>
      <c r="C30" s="33" t="s">
        <v>196</v>
      </c>
      <c r="D30" s="32">
        <v>42767</v>
      </c>
      <c r="E30" s="33" t="s">
        <v>175</v>
      </c>
      <c r="F30" s="33" t="s">
        <v>152</v>
      </c>
      <c r="G30" s="33">
        <v>2300000</v>
      </c>
      <c r="H30" s="33">
        <v>450000</v>
      </c>
      <c r="I30" s="33">
        <v>0</v>
      </c>
      <c r="J30" s="33">
        <v>2</v>
      </c>
      <c r="K30" s="33">
        <v>60000</v>
      </c>
      <c r="L30" s="33">
        <v>1</v>
      </c>
      <c r="M30" s="33">
        <v>100000</v>
      </c>
      <c r="N30" s="33">
        <v>3</v>
      </c>
      <c r="O30" s="34">
        <v>242800</v>
      </c>
    </row>
    <row r="31" spans="2:15">
      <c r="B31" s="27">
        <v>29</v>
      </c>
      <c r="C31" s="29" t="s">
        <v>197</v>
      </c>
      <c r="D31" s="28">
        <v>43160</v>
      </c>
      <c r="E31" s="29" t="s">
        <v>175</v>
      </c>
      <c r="F31" s="29" t="s">
        <v>152</v>
      </c>
      <c r="G31" s="29">
        <v>2300000</v>
      </c>
      <c r="H31" s="29">
        <v>450000</v>
      </c>
      <c r="I31" s="29">
        <v>1</v>
      </c>
      <c r="J31" s="29">
        <v>2</v>
      </c>
      <c r="K31" s="29">
        <v>90000</v>
      </c>
      <c r="L31" s="29">
        <v>2</v>
      </c>
      <c r="M31" s="29">
        <v>200000</v>
      </c>
      <c r="N31" s="29">
        <v>2</v>
      </c>
      <c r="O31" s="30">
        <v>253200</v>
      </c>
    </row>
    <row r="32" spans="2:15">
      <c r="B32" s="31">
        <v>30</v>
      </c>
      <c r="C32" s="33" t="s">
        <v>198</v>
      </c>
      <c r="D32" s="32">
        <v>41365</v>
      </c>
      <c r="E32" s="33" t="s">
        <v>175</v>
      </c>
      <c r="F32" s="33" t="s">
        <v>166</v>
      </c>
      <c r="G32" s="33">
        <v>2800000</v>
      </c>
      <c r="H32" s="33">
        <v>575000</v>
      </c>
      <c r="I32" s="33">
        <v>1</v>
      </c>
      <c r="J32" s="33">
        <v>3</v>
      </c>
      <c r="K32" s="33">
        <v>120000</v>
      </c>
      <c r="L32" s="33">
        <v>3</v>
      </c>
      <c r="M32" s="33">
        <v>300000</v>
      </c>
      <c r="N32" s="33">
        <v>7</v>
      </c>
      <c r="O32" s="34">
        <v>313600</v>
      </c>
    </row>
    <row r="33" spans="2:15">
      <c r="B33" s="27">
        <v>31</v>
      </c>
      <c r="C33" s="29" t="s">
        <v>199</v>
      </c>
      <c r="D33" s="28">
        <v>42040</v>
      </c>
      <c r="E33" s="29" t="s">
        <v>175</v>
      </c>
      <c r="F33" s="29" t="s">
        <v>152</v>
      </c>
      <c r="G33" s="29">
        <v>2400000</v>
      </c>
      <c r="H33" s="29">
        <v>475000</v>
      </c>
      <c r="I33" s="29">
        <v>1</v>
      </c>
      <c r="J33" s="29">
        <v>2</v>
      </c>
      <c r="K33" s="29">
        <v>90000</v>
      </c>
      <c r="L33" s="29">
        <v>2</v>
      </c>
      <c r="M33" s="29">
        <v>200000</v>
      </c>
      <c r="N33" s="29">
        <v>5</v>
      </c>
      <c r="O33" s="30">
        <v>263200</v>
      </c>
    </row>
    <row r="34" spans="2:15">
      <c r="B34" s="31">
        <v>32</v>
      </c>
      <c r="C34" s="33" t="s">
        <v>200</v>
      </c>
      <c r="D34" s="32">
        <v>39114</v>
      </c>
      <c r="E34" s="33" t="s">
        <v>153</v>
      </c>
      <c r="F34" s="33" t="s">
        <v>178</v>
      </c>
      <c r="G34" s="33">
        <v>3500000</v>
      </c>
      <c r="H34" s="33">
        <v>750000</v>
      </c>
      <c r="I34" s="33">
        <v>1</v>
      </c>
      <c r="J34" s="33">
        <v>0</v>
      </c>
      <c r="K34" s="33">
        <v>30000</v>
      </c>
      <c r="L34" s="33">
        <v>1</v>
      </c>
      <c r="M34" s="33">
        <v>100000</v>
      </c>
      <c r="N34" s="33">
        <v>13</v>
      </c>
      <c r="O34" s="34">
        <v>360400</v>
      </c>
    </row>
    <row r="35" spans="2:15">
      <c r="B35" s="27">
        <v>33</v>
      </c>
      <c r="C35" s="29" t="s">
        <v>171</v>
      </c>
      <c r="D35" s="28">
        <v>41640</v>
      </c>
      <c r="E35" s="29" t="s">
        <v>170</v>
      </c>
      <c r="F35" s="29" t="s">
        <v>166</v>
      </c>
      <c r="G35" s="29">
        <v>2800000</v>
      </c>
      <c r="H35" s="29">
        <v>575000</v>
      </c>
      <c r="I35" s="29">
        <v>1</v>
      </c>
      <c r="J35" s="29">
        <v>4</v>
      </c>
      <c r="K35" s="29">
        <v>150000</v>
      </c>
      <c r="L35" s="29">
        <v>1</v>
      </c>
      <c r="M35" s="29">
        <v>100000</v>
      </c>
      <c r="N35" s="29">
        <v>6</v>
      </c>
      <c r="O35" s="30">
        <v>300000</v>
      </c>
    </row>
    <row r="36" spans="2:15">
      <c r="B36" s="31">
        <v>34</v>
      </c>
      <c r="C36" s="33" t="s">
        <v>172</v>
      </c>
      <c r="D36" s="32">
        <v>42005</v>
      </c>
      <c r="E36" s="33" t="s">
        <v>168</v>
      </c>
      <c r="F36" s="33" t="s">
        <v>152</v>
      </c>
      <c r="G36" s="33">
        <v>2500000</v>
      </c>
      <c r="H36" s="33">
        <v>500000</v>
      </c>
      <c r="I36" s="33">
        <v>1</v>
      </c>
      <c r="J36" s="33">
        <v>1</v>
      </c>
      <c r="K36" s="33">
        <v>60000</v>
      </c>
      <c r="L36" s="33">
        <v>1</v>
      </c>
      <c r="M36" s="33">
        <v>100000</v>
      </c>
      <c r="N36" s="33">
        <v>5</v>
      </c>
      <c r="O36" s="34">
        <v>262800</v>
      </c>
    </row>
    <row r="37" spans="2:15">
      <c r="B37" s="27">
        <v>35</v>
      </c>
      <c r="C37" s="29" t="s">
        <v>151</v>
      </c>
      <c r="D37" s="28">
        <v>42005</v>
      </c>
      <c r="E37" s="29" t="s">
        <v>153</v>
      </c>
      <c r="F37" s="29" t="s">
        <v>152</v>
      </c>
      <c r="G37" s="29">
        <v>2500000</v>
      </c>
      <c r="H37" s="29">
        <v>500000</v>
      </c>
      <c r="I37" s="29">
        <v>1</v>
      </c>
      <c r="J37" s="29">
        <v>3</v>
      </c>
      <c r="K37" s="29">
        <v>120000</v>
      </c>
      <c r="L37" s="29">
        <v>1</v>
      </c>
      <c r="M37" s="29">
        <v>100000</v>
      </c>
      <c r="N37" s="29">
        <v>5</v>
      </c>
      <c r="O37" s="30">
        <v>267600</v>
      </c>
    </row>
    <row r="38" spans="2:15">
      <c r="B38" s="31">
        <v>36</v>
      </c>
      <c r="C38" s="33" t="s">
        <v>173</v>
      </c>
      <c r="D38" s="32">
        <v>42005</v>
      </c>
      <c r="E38" s="33" t="s">
        <v>168</v>
      </c>
      <c r="F38" s="33" t="s">
        <v>152</v>
      </c>
      <c r="G38" s="33">
        <v>2500000</v>
      </c>
      <c r="H38" s="33">
        <v>500000</v>
      </c>
      <c r="I38" s="33">
        <v>1</v>
      </c>
      <c r="J38" s="33">
        <v>4</v>
      </c>
      <c r="K38" s="33">
        <v>150000</v>
      </c>
      <c r="L38" s="33">
        <v>1</v>
      </c>
      <c r="M38" s="33">
        <v>100000</v>
      </c>
      <c r="N38" s="33">
        <v>5</v>
      </c>
      <c r="O38" s="34">
        <v>270000</v>
      </c>
    </row>
    <row r="39" spans="2:15">
      <c r="B39" s="27">
        <v>37</v>
      </c>
      <c r="C39" s="29" t="s">
        <v>201</v>
      </c>
      <c r="D39" s="28">
        <v>43831</v>
      </c>
      <c r="E39" s="29" t="s">
        <v>170</v>
      </c>
      <c r="F39" s="29" t="s">
        <v>181</v>
      </c>
      <c r="G39" s="29">
        <v>1700000</v>
      </c>
      <c r="H39" s="29">
        <v>300000</v>
      </c>
      <c r="I39" s="29">
        <v>1</v>
      </c>
      <c r="J39" s="29">
        <v>2</v>
      </c>
      <c r="K39" s="29">
        <v>90000</v>
      </c>
      <c r="L39" s="29">
        <v>1</v>
      </c>
      <c r="M39" s="29">
        <v>100000</v>
      </c>
      <c r="N39" s="29">
        <v>0</v>
      </c>
      <c r="O39" s="30">
        <v>185200</v>
      </c>
    </row>
    <row r="40" spans="2:15">
      <c r="B40" s="31">
        <v>38</v>
      </c>
      <c r="C40" s="33" t="s">
        <v>202</v>
      </c>
      <c r="D40" s="32">
        <v>43831</v>
      </c>
      <c r="E40" s="33" t="s">
        <v>170</v>
      </c>
      <c r="F40" s="33" t="s">
        <v>181</v>
      </c>
      <c r="G40" s="33">
        <v>1700000</v>
      </c>
      <c r="H40" s="33">
        <v>300000</v>
      </c>
      <c r="I40" s="33">
        <v>1</v>
      </c>
      <c r="J40" s="33">
        <v>0</v>
      </c>
      <c r="K40" s="33">
        <v>30000</v>
      </c>
      <c r="L40" s="33">
        <v>0</v>
      </c>
      <c r="M40" s="33">
        <v>0</v>
      </c>
      <c r="N40" s="33">
        <v>0</v>
      </c>
      <c r="O40" s="34">
        <v>172400</v>
      </c>
    </row>
    <row r="41" spans="2:15">
      <c r="B41" s="20">
        <v>39</v>
      </c>
      <c r="C41" s="22" t="s">
        <v>203</v>
      </c>
      <c r="D41" s="21">
        <v>43862</v>
      </c>
      <c r="E41" s="22" t="s">
        <v>175</v>
      </c>
      <c r="F41" s="22" t="s">
        <v>181</v>
      </c>
      <c r="G41" s="22">
        <v>1800000</v>
      </c>
      <c r="H41" s="22">
        <v>325000</v>
      </c>
      <c r="I41" s="22">
        <v>1</v>
      </c>
      <c r="J41" s="22">
        <v>2</v>
      </c>
      <c r="K41" s="22">
        <v>90000</v>
      </c>
      <c r="L41" s="22">
        <v>0</v>
      </c>
      <c r="M41" s="22">
        <v>0</v>
      </c>
      <c r="N41" s="22">
        <v>0</v>
      </c>
      <c r="O41" s="23">
        <v>187200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4294967293" verticalDpi="4294967293" r:id="rId1"/>
  <headerFooter>
    <oddHeader>&amp;L&amp;A</oddHeader>
    <oddFooter>&amp;R&amp;P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L38"/>
  <sheetViews>
    <sheetView workbookViewId="0">
      <selection activeCell="B1" sqref="B1"/>
    </sheetView>
  </sheetViews>
  <sheetFormatPr defaultColWidth="8.75" defaultRowHeight="16.5"/>
  <cols>
    <col min="1" max="1" width="2.875" style="5" customWidth="1"/>
    <col min="2" max="3" width="9.75" style="5" customWidth="1"/>
    <col min="4" max="4" width="10.75" style="5" customWidth="1"/>
    <col min="5" max="12" width="9.75" style="5" customWidth="1"/>
    <col min="13" max="16384" width="8.75" style="5"/>
  </cols>
  <sheetData>
    <row r="1" spans="2:12">
      <c r="B1" s="12" t="s">
        <v>92</v>
      </c>
      <c r="C1" s="12"/>
      <c r="D1" s="12"/>
      <c r="E1" s="12"/>
      <c r="F1" s="12"/>
      <c r="G1" s="12"/>
      <c r="H1" s="12" t="s">
        <v>93</v>
      </c>
      <c r="I1" s="12"/>
      <c r="J1" s="12"/>
      <c r="K1" s="12"/>
      <c r="L1" s="12"/>
    </row>
    <row r="2" spans="2:12">
      <c r="B2" s="13" t="s">
        <v>60</v>
      </c>
      <c r="C2" s="13" t="s">
        <v>61</v>
      </c>
      <c r="D2" s="13" t="s">
        <v>62</v>
      </c>
      <c r="E2" s="14" t="s">
        <v>255</v>
      </c>
      <c r="F2" s="14" t="s">
        <v>63</v>
      </c>
      <c r="G2" s="12"/>
      <c r="H2" s="13" t="s">
        <v>64</v>
      </c>
      <c r="I2" s="14" t="s">
        <v>65</v>
      </c>
      <c r="J2" s="14" t="s">
        <v>66</v>
      </c>
      <c r="K2" s="12"/>
      <c r="L2" s="12"/>
    </row>
    <row r="3" spans="2:12">
      <c r="B3" s="6" t="s">
        <v>111</v>
      </c>
      <c r="C3" s="13" t="s">
        <v>97</v>
      </c>
      <c r="D3" s="15">
        <v>0.17430555555555557</v>
      </c>
      <c r="E3" s="13" t="str">
        <f>IFERROR(VLOOKUP(MID(C3,2,2),$H$13:$K$20,MATCH(MID(C3,4,2)*1,$I$12:$K$12,0)+1,0),"오류")</f>
        <v>경남-일반</v>
      </c>
      <c r="F3" s="15" t="str" cm="1">
        <f t="array" ref="F3">fn성별(C3)</f>
        <v>여</v>
      </c>
      <c r="G3" s="12"/>
      <c r="H3" s="13">
        <v>1</v>
      </c>
      <c r="I3" s="37">
        <f t="array" ref="I3">SMALL(IF(LEFT($C$3:$C$23,1)=I$2,$D$3:$D$23),$H3)</f>
        <v>0.11458333333333333</v>
      </c>
      <c r="J3" s="37">
        <f t="array" ref="J3">SMALL(IF(LEFT($C$3:$C$23,1)=J$2,$D$3:$D$23),$H3)</f>
        <v>0.12152777777777778</v>
      </c>
      <c r="K3" s="12"/>
      <c r="L3" s="12"/>
    </row>
    <row r="4" spans="2:12">
      <c r="B4" s="16" t="s">
        <v>126</v>
      </c>
      <c r="C4" s="13" t="s">
        <v>280</v>
      </c>
      <c r="D4" s="15">
        <v>0.16319444444444445</v>
      </c>
      <c r="E4" s="13" t="str">
        <f t="shared" ref="E4:E23" si="0">IFERROR(VLOOKUP(MID(C4,2,2),$H$13:$K$20,MATCH(MID(C4,4,2)*1,$I$12:$K$12,0)+1,0),"오류")</f>
        <v>서울-고등</v>
      </c>
      <c r="F4" s="15" t="str" cm="1">
        <f t="array" ref="F4">fn성별(C4)</f>
        <v>여</v>
      </c>
      <c r="G4" s="12"/>
      <c r="H4" s="13">
        <v>2</v>
      </c>
      <c r="I4" s="37">
        <f t="array" ref="I4">SMALL(IF(LEFT($C$3:$C$23,1)=I$2,$D$3:$D$23),$H4)</f>
        <v>0.12430555555555556</v>
      </c>
      <c r="J4" s="37">
        <f t="array" ref="J4">SMALL(IF(LEFT($C$3:$C$23,1)=J$2,$D$3:$D$23),$H4)</f>
        <v>0.13263888888888889</v>
      </c>
      <c r="K4" s="12"/>
      <c r="L4" s="12"/>
    </row>
    <row r="5" spans="2:12">
      <c r="B5" s="16" t="s">
        <v>107</v>
      </c>
      <c r="C5" s="13" t="s">
        <v>281</v>
      </c>
      <c r="D5" s="15">
        <v>0.13263888888888889</v>
      </c>
      <c r="E5" s="13" t="str">
        <f t="shared" si="0"/>
        <v>충남-대학</v>
      </c>
      <c r="F5" s="15" t="str" cm="1">
        <f t="array" ref="F5">fn성별(C5)</f>
        <v>여</v>
      </c>
      <c r="G5" s="12"/>
      <c r="H5" s="13">
        <v>3</v>
      </c>
      <c r="I5" s="37">
        <f t="array" ref="I5">SMALL(IF(LEFT($C$3:$C$23,1)=I$2,$D$3:$D$23),$H5)</f>
        <v>0.1388888888888889</v>
      </c>
      <c r="J5" s="37">
        <f t="array" ref="J5">SMALL(IF(LEFT($C$3:$C$23,1)=J$2,$D$3:$D$23),$H5)</f>
        <v>0.15625</v>
      </c>
      <c r="K5" s="12"/>
      <c r="L5" s="12"/>
    </row>
    <row r="6" spans="2:12">
      <c r="B6" s="6" t="s">
        <v>109</v>
      </c>
      <c r="C6" s="13" t="s">
        <v>282</v>
      </c>
      <c r="D6" s="15">
        <v>0.18055555555555555</v>
      </c>
      <c r="E6" s="13" t="str">
        <f t="shared" si="0"/>
        <v>오류</v>
      </c>
      <c r="F6" s="15" t="str" cm="1">
        <f t="array" ref="F6">fn성별(C6)</f>
        <v>남</v>
      </c>
      <c r="G6" s="12"/>
      <c r="H6" s="12"/>
      <c r="I6" s="12"/>
      <c r="J6" s="12"/>
      <c r="K6" s="12"/>
      <c r="L6" s="12"/>
    </row>
    <row r="7" spans="2:12">
      <c r="B7" s="6" t="s">
        <v>116</v>
      </c>
      <c r="C7" s="13" t="s">
        <v>104</v>
      </c>
      <c r="D7" s="15">
        <v>0.16319444444444445</v>
      </c>
      <c r="E7" s="13" t="str">
        <f t="shared" si="0"/>
        <v>충남-일반</v>
      </c>
      <c r="F7" s="15" t="str" cm="1">
        <f t="array" ref="F7">fn성별(C7)</f>
        <v>여</v>
      </c>
      <c r="G7" s="12"/>
      <c r="H7" s="12" t="s">
        <v>95</v>
      </c>
      <c r="I7" s="12"/>
      <c r="J7" s="12"/>
      <c r="K7" s="12"/>
      <c r="L7" s="12"/>
    </row>
    <row r="8" spans="2:12">
      <c r="B8" s="6" t="s">
        <v>124</v>
      </c>
      <c r="C8" s="13" t="s">
        <v>88</v>
      </c>
      <c r="D8" s="15">
        <v>0.16250000000000001</v>
      </c>
      <c r="E8" s="13" t="str">
        <f t="shared" si="0"/>
        <v>경남-일반</v>
      </c>
      <c r="F8" s="15" t="str" cm="1">
        <f t="array" ref="F8">fn성별(C8)</f>
        <v>여</v>
      </c>
      <c r="G8" s="12"/>
      <c r="H8" s="13" t="s">
        <v>67</v>
      </c>
      <c r="I8" s="17">
        <v>0.125</v>
      </c>
      <c r="J8" s="17">
        <v>0.14583333333333334</v>
      </c>
      <c r="K8" s="17">
        <v>0.16666666666666666</v>
      </c>
      <c r="L8" s="17">
        <v>0.1875</v>
      </c>
    </row>
    <row r="9" spans="2:12">
      <c r="B9" s="16" t="s">
        <v>112</v>
      </c>
      <c r="C9" s="13" t="s">
        <v>283</v>
      </c>
      <c r="D9" s="15">
        <v>0.18958333333333333</v>
      </c>
      <c r="E9" s="13" t="str">
        <f t="shared" si="0"/>
        <v>전남-고등</v>
      </c>
      <c r="F9" s="15" t="str" cm="1">
        <f t="array" ref="F9">fn성별(C9)</f>
        <v>여</v>
      </c>
      <c r="G9" s="12"/>
      <c r="H9" s="13" t="s">
        <v>68</v>
      </c>
      <c r="I9" s="18">
        <f t="array" ref="I9">SUM(IF($D$3:$D$23&lt;=I8,1,0))</f>
        <v>3</v>
      </c>
      <c r="J9" s="18">
        <f t="array" ref="J9">SUM(IF($D$3:$D$23&lt;=J8,1,0))</f>
        <v>7</v>
      </c>
      <c r="K9" s="18">
        <f t="array" ref="K9">SUM(IF($D$3:$D$23&lt;=K8,1,0))</f>
        <v>12</v>
      </c>
      <c r="L9" s="18">
        <f t="array" ref="L9">SUM(IF($D$3:$D$23&lt;=L8,1,0))</f>
        <v>16</v>
      </c>
    </row>
    <row r="10" spans="2:12">
      <c r="B10" s="6" t="s">
        <v>121</v>
      </c>
      <c r="C10" s="13" t="s">
        <v>284</v>
      </c>
      <c r="D10" s="15">
        <v>0.1388888888888889</v>
      </c>
      <c r="E10" s="13" t="str">
        <f t="shared" si="0"/>
        <v>경북-대학</v>
      </c>
      <c r="F10" s="15" t="str" cm="1">
        <f t="array" ref="F10">fn성별(C10)</f>
        <v>남</v>
      </c>
      <c r="G10" s="12"/>
      <c r="H10" s="12"/>
      <c r="I10" s="12"/>
      <c r="J10" s="12"/>
      <c r="K10" s="12"/>
      <c r="L10" s="12"/>
    </row>
    <row r="11" spans="2:12">
      <c r="B11" s="16" t="s">
        <v>110</v>
      </c>
      <c r="C11" s="13" t="s">
        <v>285</v>
      </c>
      <c r="D11" s="15">
        <v>0.17708333333333334</v>
      </c>
      <c r="E11" s="13" t="str">
        <f t="shared" si="0"/>
        <v>경남-대학</v>
      </c>
      <c r="F11" s="15" t="str" cm="1">
        <f t="array" ref="F11">fn성별(C11)</f>
        <v>남</v>
      </c>
      <c r="G11" s="12"/>
      <c r="H11" s="12" t="s">
        <v>87</v>
      </c>
      <c r="I11" s="12"/>
      <c r="J11" s="12"/>
      <c r="K11" s="12"/>
      <c r="L11" s="12"/>
    </row>
    <row r="12" spans="2:12">
      <c r="B12" s="16" t="s">
        <v>113</v>
      </c>
      <c r="C12" s="13" t="s">
        <v>286</v>
      </c>
      <c r="D12" s="15">
        <v>0.12430555555555556</v>
      </c>
      <c r="E12" s="13" t="str">
        <f t="shared" si="0"/>
        <v>경북-고등</v>
      </c>
      <c r="F12" s="15" t="str" cm="1">
        <f t="array" ref="F12">fn성별(C12)</f>
        <v>남</v>
      </c>
      <c r="G12" s="12"/>
      <c r="H12" s="13" t="s">
        <v>69</v>
      </c>
      <c r="I12" s="13">
        <v>10</v>
      </c>
      <c r="J12" s="13">
        <v>20</v>
      </c>
      <c r="K12" s="13">
        <v>30</v>
      </c>
      <c r="L12" s="12"/>
    </row>
    <row r="13" spans="2:12">
      <c r="B13" s="6" t="s">
        <v>108</v>
      </c>
      <c r="C13" s="7" t="s">
        <v>287</v>
      </c>
      <c r="D13" s="15">
        <v>0.12152777777777778</v>
      </c>
      <c r="E13" s="13" t="str">
        <f t="shared" si="0"/>
        <v>충북-고등</v>
      </c>
      <c r="F13" s="15" t="str" cm="1">
        <f t="array" ref="F13">fn성별(C13)</f>
        <v>여</v>
      </c>
      <c r="G13" s="12"/>
      <c r="H13" s="13" t="s">
        <v>98</v>
      </c>
      <c r="I13" s="13" t="s">
        <v>256</v>
      </c>
      <c r="J13" s="13" t="s">
        <v>264</v>
      </c>
      <c r="K13" s="13" t="s">
        <v>272</v>
      </c>
      <c r="L13" s="12"/>
    </row>
    <row r="14" spans="2:12">
      <c r="B14" s="6" t="s">
        <v>123</v>
      </c>
      <c r="C14" s="13" t="s">
        <v>94</v>
      </c>
      <c r="D14" s="15">
        <v>0.23333333333333331</v>
      </c>
      <c r="E14" s="13" t="str">
        <f t="shared" si="0"/>
        <v>경기-일반</v>
      </c>
      <c r="F14" s="15" t="str" cm="1">
        <f t="array" ref="F14">fn성별(C14)</f>
        <v>남</v>
      </c>
      <c r="G14" s="12"/>
      <c r="H14" s="13" t="s">
        <v>99</v>
      </c>
      <c r="I14" s="13" t="s">
        <v>257</v>
      </c>
      <c r="J14" s="13" t="s">
        <v>265</v>
      </c>
      <c r="K14" s="13" t="s">
        <v>273</v>
      </c>
      <c r="L14" s="12"/>
    </row>
    <row r="15" spans="2:12">
      <c r="B15" s="16" t="s">
        <v>114</v>
      </c>
      <c r="C15" s="13" t="s">
        <v>292</v>
      </c>
      <c r="D15" s="15">
        <v>0.14583333333333334</v>
      </c>
      <c r="E15" s="13" t="str">
        <f t="shared" si="0"/>
        <v>오류</v>
      </c>
      <c r="F15" s="15" t="str" cm="1">
        <f t="array" ref="F15">fn성별(C15)</f>
        <v>남</v>
      </c>
      <c r="G15" s="12"/>
      <c r="H15" s="13" t="s">
        <v>100</v>
      </c>
      <c r="I15" s="13" t="s">
        <v>258</v>
      </c>
      <c r="J15" s="13" t="s">
        <v>266</v>
      </c>
      <c r="K15" s="13" t="s">
        <v>274</v>
      </c>
      <c r="L15" s="12"/>
    </row>
    <row r="16" spans="2:12">
      <c r="B16" s="6" t="s">
        <v>117</v>
      </c>
      <c r="C16" s="13" t="s">
        <v>288</v>
      </c>
      <c r="D16" s="15">
        <v>0.15416666666666667</v>
      </c>
      <c r="E16" s="13" t="str">
        <f t="shared" si="0"/>
        <v>서울-고등</v>
      </c>
      <c r="F16" s="15" t="str" cm="1">
        <f t="array" ref="F16">fn성별(C16)</f>
        <v>남</v>
      </c>
      <c r="G16" s="12"/>
      <c r="H16" s="13" t="s">
        <v>101</v>
      </c>
      <c r="I16" s="13" t="s">
        <v>259</v>
      </c>
      <c r="J16" s="13" t="s">
        <v>267</v>
      </c>
      <c r="K16" s="13" t="s">
        <v>275</v>
      </c>
      <c r="L16" s="12"/>
    </row>
    <row r="17" spans="2:12">
      <c r="B17" s="6" t="s">
        <v>106</v>
      </c>
      <c r="C17" s="7" t="s">
        <v>289</v>
      </c>
      <c r="D17" s="15">
        <v>0.17361111111111113</v>
      </c>
      <c r="E17" s="13" t="str">
        <f t="shared" si="0"/>
        <v>충북-대학</v>
      </c>
      <c r="F17" s="15" t="str" cm="1">
        <f t="array" ref="F17">fn성별(C17)</f>
        <v>여</v>
      </c>
      <c r="G17" s="12"/>
      <c r="H17" s="13" t="s">
        <v>91</v>
      </c>
      <c r="I17" s="13" t="s">
        <v>260</v>
      </c>
      <c r="J17" s="13" t="s">
        <v>268</v>
      </c>
      <c r="K17" s="13" t="s">
        <v>276</v>
      </c>
      <c r="L17" s="12"/>
    </row>
    <row r="18" spans="2:12">
      <c r="B18" s="6" t="s">
        <v>122</v>
      </c>
      <c r="C18" s="13" t="s">
        <v>96</v>
      </c>
      <c r="D18" s="15">
        <v>0.19166666666666665</v>
      </c>
      <c r="E18" s="13" t="str">
        <f t="shared" si="0"/>
        <v>경북-일반</v>
      </c>
      <c r="F18" s="15" t="str" cm="1">
        <f t="array" ref="F18">fn성별(C18)</f>
        <v>여</v>
      </c>
      <c r="G18" s="12"/>
      <c r="H18" s="13" t="s">
        <v>102</v>
      </c>
      <c r="I18" s="13" t="s">
        <v>261</v>
      </c>
      <c r="J18" s="13" t="s">
        <v>269</v>
      </c>
      <c r="K18" s="13" t="s">
        <v>277</v>
      </c>
      <c r="L18" s="12"/>
    </row>
    <row r="19" spans="2:12">
      <c r="B19" s="6" t="s">
        <v>105</v>
      </c>
      <c r="C19" s="13" t="s">
        <v>94</v>
      </c>
      <c r="D19" s="15">
        <v>0.21180555555555555</v>
      </c>
      <c r="E19" s="13" t="str">
        <f t="shared" si="0"/>
        <v>경기-일반</v>
      </c>
      <c r="F19" s="15" t="str" cm="1">
        <f t="array" ref="F19">fn성별(C19)</f>
        <v>남</v>
      </c>
      <c r="G19" s="12"/>
      <c r="H19" s="13" t="s">
        <v>103</v>
      </c>
      <c r="I19" s="13" t="s">
        <v>262</v>
      </c>
      <c r="J19" s="13" t="s">
        <v>270</v>
      </c>
      <c r="K19" s="13" t="s">
        <v>278</v>
      </c>
      <c r="L19" s="12"/>
    </row>
    <row r="20" spans="2:12">
      <c r="B20" s="6" t="s">
        <v>115</v>
      </c>
      <c r="C20" s="13" t="s">
        <v>290</v>
      </c>
      <c r="D20" s="15">
        <v>0.1423611111111111</v>
      </c>
      <c r="E20" s="13" t="str">
        <f t="shared" si="0"/>
        <v>충남-대학</v>
      </c>
      <c r="F20" s="15" t="str" cm="1">
        <f t="array" ref="F20">fn성별(C20)</f>
        <v>남</v>
      </c>
      <c r="G20" s="12"/>
      <c r="H20" s="7" t="s">
        <v>70</v>
      </c>
      <c r="I20" s="13" t="s">
        <v>263</v>
      </c>
      <c r="J20" s="13" t="s">
        <v>271</v>
      </c>
      <c r="K20" s="13" t="s">
        <v>279</v>
      </c>
      <c r="L20" s="12"/>
    </row>
    <row r="21" spans="2:12">
      <c r="B21" s="6" t="s">
        <v>119</v>
      </c>
      <c r="C21" s="13" t="s">
        <v>89</v>
      </c>
      <c r="D21" s="15">
        <v>0.15625</v>
      </c>
      <c r="E21" s="13" t="str">
        <f t="shared" si="0"/>
        <v>전남-일반</v>
      </c>
      <c r="F21" s="15" t="str" cm="1">
        <f t="array" ref="F21">fn성별(C21)</f>
        <v>여</v>
      </c>
      <c r="G21" s="12"/>
      <c r="H21" s="12"/>
      <c r="I21" s="12"/>
      <c r="J21" s="12"/>
      <c r="K21" s="12"/>
      <c r="L21" s="12"/>
    </row>
    <row r="22" spans="2:12">
      <c r="B22" s="6" t="s">
        <v>120</v>
      </c>
      <c r="C22" s="13" t="s">
        <v>291</v>
      </c>
      <c r="D22" s="15">
        <v>0.11458333333333333</v>
      </c>
      <c r="E22" s="13" t="str">
        <f t="shared" si="0"/>
        <v>오류</v>
      </c>
      <c r="F22" s="15" t="str" cm="1">
        <f t="array" ref="F22">fn성별(C22)</f>
        <v>남</v>
      </c>
      <c r="G22" s="12"/>
      <c r="H22" s="12"/>
      <c r="I22" s="12"/>
      <c r="J22" s="12"/>
      <c r="K22" s="12"/>
      <c r="L22" s="12"/>
    </row>
    <row r="23" spans="2:12">
      <c r="B23" s="16" t="s">
        <v>125</v>
      </c>
      <c r="C23" s="13" t="s">
        <v>90</v>
      </c>
      <c r="D23" s="15">
        <v>0.21180555555555555</v>
      </c>
      <c r="E23" s="13" t="str">
        <f t="shared" si="0"/>
        <v>충북-일반</v>
      </c>
      <c r="F23" s="15" t="str" cm="1">
        <f t="array" ref="F23">fn성별(C23)</f>
        <v>남</v>
      </c>
      <c r="G23" s="12"/>
      <c r="H23" s="12"/>
      <c r="I23" s="12"/>
      <c r="J23" s="12"/>
      <c r="K23" s="12"/>
      <c r="L23" s="12"/>
    </row>
    <row r="24" spans="2:12"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2:12">
      <c r="B25" s="12" t="s">
        <v>204</v>
      </c>
      <c r="C25" s="8"/>
      <c r="D25" s="8"/>
      <c r="E25" s="8"/>
      <c r="F25" s="8"/>
      <c r="G25" s="8"/>
      <c r="H25" s="8"/>
      <c r="I25" s="12"/>
      <c r="J25" s="12"/>
      <c r="K25" s="12"/>
      <c r="L25" s="12"/>
    </row>
    <row r="26" spans="2:12">
      <c r="B26" s="7" t="s">
        <v>118</v>
      </c>
      <c r="C26" s="7" t="s">
        <v>71</v>
      </c>
      <c r="D26" s="7" t="s">
        <v>72</v>
      </c>
      <c r="E26" s="7" t="s">
        <v>73</v>
      </c>
      <c r="F26" s="7" t="s">
        <v>74</v>
      </c>
      <c r="G26" s="7" t="s">
        <v>75</v>
      </c>
      <c r="H26" s="9" t="s">
        <v>76</v>
      </c>
      <c r="I26" s="12"/>
      <c r="J26" s="12"/>
      <c r="K26" s="12"/>
      <c r="L26" s="12"/>
    </row>
    <row r="27" spans="2:12">
      <c r="B27" s="6" t="s">
        <v>83</v>
      </c>
      <c r="C27" s="10" t="s">
        <v>139</v>
      </c>
      <c r="D27" s="6" t="s">
        <v>137</v>
      </c>
      <c r="E27" s="11">
        <v>4580</v>
      </c>
      <c r="F27" s="11">
        <v>1010</v>
      </c>
      <c r="G27" s="11">
        <v>58</v>
      </c>
      <c r="H27" s="6" t="str">
        <f>IF(AND(ISBLANK(G27),E27&gt;=8000,F27&lt;=1000),"베스트셀러","")</f>
        <v/>
      </c>
      <c r="I27" s="12"/>
      <c r="J27" s="12"/>
      <c r="K27" s="12"/>
      <c r="L27" s="12"/>
    </row>
    <row r="28" spans="2:12">
      <c r="B28" s="6" t="s">
        <v>78</v>
      </c>
      <c r="C28" s="10" t="s">
        <v>129</v>
      </c>
      <c r="D28" s="6" t="s">
        <v>130</v>
      </c>
      <c r="E28" s="11">
        <v>8550</v>
      </c>
      <c r="F28" s="11">
        <v>5830</v>
      </c>
      <c r="G28" s="11">
        <v>156</v>
      </c>
      <c r="H28" s="6" t="str">
        <f t="shared" ref="H28:H36" si="1">IF(AND(ISBLANK(G28),E28&gt;=8000,F28&lt;=1000),"베스트셀러","")</f>
        <v/>
      </c>
      <c r="I28" s="12"/>
      <c r="J28" s="12"/>
      <c r="K28" s="12"/>
      <c r="L28" s="12"/>
    </row>
    <row r="29" spans="2:12">
      <c r="B29" s="6" t="s">
        <v>79</v>
      </c>
      <c r="C29" s="10" t="s">
        <v>131</v>
      </c>
      <c r="D29" s="6" t="s">
        <v>132</v>
      </c>
      <c r="E29" s="11">
        <v>10258</v>
      </c>
      <c r="F29" s="11">
        <v>990</v>
      </c>
      <c r="G29" s="11"/>
      <c r="H29" s="6" t="str">
        <f t="shared" si="1"/>
        <v>베스트셀러</v>
      </c>
      <c r="I29" s="12"/>
      <c r="J29" s="12"/>
      <c r="K29" s="12"/>
      <c r="L29" s="12"/>
    </row>
    <row r="30" spans="2:12">
      <c r="B30" s="6" t="s">
        <v>81</v>
      </c>
      <c r="C30" s="10" t="s">
        <v>135</v>
      </c>
      <c r="D30" s="6" t="s">
        <v>138</v>
      </c>
      <c r="E30" s="11">
        <v>3586</v>
      </c>
      <c r="F30" s="11">
        <v>1568</v>
      </c>
      <c r="G30" s="11"/>
      <c r="H30" s="6" t="str">
        <f t="shared" si="1"/>
        <v/>
      </c>
      <c r="I30" s="12"/>
      <c r="J30" s="12"/>
      <c r="K30" s="12"/>
      <c r="L30" s="12"/>
    </row>
    <row r="31" spans="2:12">
      <c r="B31" s="6" t="s">
        <v>86</v>
      </c>
      <c r="C31" s="10" t="s">
        <v>144</v>
      </c>
      <c r="D31" s="6" t="s">
        <v>145</v>
      </c>
      <c r="E31" s="11">
        <v>8610</v>
      </c>
      <c r="F31" s="11">
        <v>1200</v>
      </c>
      <c r="G31" s="11"/>
      <c r="H31" s="6" t="str">
        <f t="shared" si="1"/>
        <v/>
      </c>
      <c r="I31" s="12"/>
      <c r="J31" s="12"/>
      <c r="K31" s="12"/>
      <c r="L31" s="12"/>
    </row>
    <row r="32" spans="2:12">
      <c r="B32" s="6" t="s">
        <v>85</v>
      </c>
      <c r="C32" s="10" t="s">
        <v>142</v>
      </c>
      <c r="D32" s="6" t="s">
        <v>143</v>
      </c>
      <c r="E32" s="11">
        <v>9330</v>
      </c>
      <c r="F32" s="11">
        <v>5552</v>
      </c>
      <c r="G32" s="11">
        <v>220</v>
      </c>
      <c r="H32" s="6" t="str">
        <f t="shared" si="1"/>
        <v/>
      </c>
      <c r="I32" s="12"/>
      <c r="J32" s="12"/>
      <c r="K32" s="12"/>
      <c r="L32" s="12"/>
    </row>
    <row r="33" spans="2:12">
      <c r="B33" s="6" t="s">
        <v>77</v>
      </c>
      <c r="C33" s="10" t="s">
        <v>127</v>
      </c>
      <c r="D33" s="6" t="s">
        <v>128</v>
      </c>
      <c r="E33" s="11">
        <v>5580</v>
      </c>
      <c r="F33" s="11">
        <v>3955</v>
      </c>
      <c r="G33" s="11"/>
      <c r="H33" s="6" t="str">
        <f t="shared" si="1"/>
        <v/>
      </c>
      <c r="I33" s="12"/>
      <c r="J33" s="12"/>
      <c r="K33" s="12"/>
      <c r="L33" s="12"/>
    </row>
    <row r="34" spans="2:12">
      <c r="B34" s="6" t="s">
        <v>82</v>
      </c>
      <c r="C34" s="10" t="s">
        <v>136</v>
      </c>
      <c r="D34" s="6" t="s">
        <v>137</v>
      </c>
      <c r="E34" s="11">
        <v>9550</v>
      </c>
      <c r="F34" s="11">
        <v>451</v>
      </c>
      <c r="G34" s="11"/>
      <c r="H34" s="6" t="str">
        <f t="shared" si="1"/>
        <v>베스트셀러</v>
      </c>
      <c r="I34" s="12"/>
      <c r="J34" s="12"/>
      <c r="K34" s="12"/>
      <c r="L34" s="12"/>
    </row>
    <row r="35" spans="2:12">
      <c r="B35" s="6" t="s">
        <v>84</v>
      </c>
      <c r="C35" s="10" t="s">
        <v>140</v>
      </c>
      <c r="D35" s="6" t="s">
        <v>141</v>
      </c>
      <c r="E35" s="11">
        <v>7680</v>
      </c>
      <c r="F35" s="11">
        <v>5114</v>
      </c>
      <c r="G35" s="11">
        <v>152</v>
      </c>
      <c r="H35" s="6" t="str">
        <f t="shared" si="1"/>
        <v/>
      </c>
      <c r="I35" s="12"/>
      <c r="J35" s="12"/>
      <c r="K35" s="12"/>
      <c r="L35" s="12"/>
    </row>
    <row r="36" spans="2:12">
      <c r="B36" s="6" t="s">
        <v>80</v>
      </c>
      <c r="C36" s="10" t="s">
        <v>133</v>
      </c>
      <c r="D36" s="6" t="s">
        <v>134</v>
      </c>
      <c r="E36" s="11">
        <v>4225</v>
      </c>
      <c r="F36" s="11">
        <v>2548</v>
      </c>
      <c r="G36" s="11">
        <v>25</v>
      </c>
      <c r="H36" s="6" t="str">
        <f t="shared" si="1"/>
        <v/>
      </c>
      <c r="I36" s="12"/>
      <c r="J36" s="12"/>
      <c r="K36" s="12"/>
      <c r="L36" s="12"/>
    </row>
    <row r="37" spans="2:12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</row>
    <row r="38" spans="2:12">
      <c r="D38" s="19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G62"/>
  <sheetViews>
    <sheetView workbookViewId="0">
      <selection activeCell="D14" sqref="D14"/>
    </sheetView>
  </sheetViews>
  <sheetFormatPr defaultRowHeight="16.5"/>
  <cols>
    <col min="1" max="1" width="9" style="38"/>
    <col min="2" max="2" width="11.875" style="38" customWidth="1"/>
    <col min="3" max="3" width="8.75" style="38" customWidth="1"/>
    <col min="4" max="4" width="12.25" style="38" customWidth="1"/>
    <col min="5" max="5" width="14.25" style="38" customWidth="1"/>
    <col min="6" max="7" width="9" style="38"/>
  </cols>
  <sheetData>
    <row r="2" spans="2:5">
      <c r="B2" s="39" t="s">
        <v>149</v>
      </c>
      <c r="C2" s="39" t="s">
        <v>147</v>
      </c>
      <c r="D2" t="s">
        <v>211</v>
      </c>
      <c r="E2" t="s">
        <v>212</v>
      </c>
    </row>
    <row r="3" spans="2:5">
      <c r="B3" t="s">
        <v>178</v>
      </c>
      <c r="C3" t="s">
        <v>206</v>
      </c>
      <c r="D3" s="40">
        <v>3</v>
      </c>
      <c r="E3" s="40">
        <v>2</v>
      </c>
    </row>
    <row r="4" spans="2:5">
      <c r="B4"/>
      <c r="C4" t="s">
        <v>207</v>
      </c>
      <c r="D4" s="40">
        <v>1</v>
      </c>
      <c r="E4" s="40">
        <v>3</v>
      </c>
    </row>
    <row r="5" spans="2:5">
      <c r="B5"/>
      <c r="C5" t="s">
        <v>210</v>
      </c>
      <c r="D5" s="40">
        <v>0</v>
      </c>
      <c r="E5" s="40">
        <v>1</v>
      </c>
    </row>
    <row r="6" spans="2:5">
      <c r="B6" t="s">
        <v>166</v>
      </c>
      <c r="C6" t="s">
        <v>208</v>
      </c>
      <c r="D6" s="40">
        <v>3</v>
      </c>
      <c r="E6" s="40">
        <v>6</v>
      </c>
    </row>
    <row r="7" spans="2:5">
      <c r="B7"/>
      <c r="C7" t="s">
        <v>206</v>
      </c>
      <c r="D7" s="40">
        <v>1</v>
      </c>
      <c r="E7" s="40">
        <v>4</v>
      </c>
    </row>
    <row r="8" spans="2:5">
      <c r="B8"/>
      <c r="C8" t="s">
        <v>207</v>
      </c>
      <c r="D8" s="40">
        <v>2</v>
      </c>
      <c r="E8" s="40">
        <v>4</v>
      </c>
    </row>
    <row r="9" spans="2:5">
      <c r="B9"/>
      <c r="C9" t="s">
        <v>209</v>
      </c>
      <c r="D9" s="40">
        <v>1</v>
      </c>
      <c r="E9" s="40">
        <v>3</v>
      </c>
    </row>
    <row r="10" spans="2:5">
      <c r="B10" t="s">
        <v>152</v>
      </c>
      <c r="C10" t="s">
        <v>208</v>
      </c>
      <c r="D10" s="40">
        <v>3</v>
      </c>
      <c r="E10" s="40">
        <v>14</v>
      </c>
    </row>
    <row r="11" spans="2:5">
      <c r="B11"/>
      <c r="C11" t="s">
        <v>206</v>
      </c>
      <c r="D11" s="40">
        <v>2</v>
      </c>
      <c r="E11" s="40">
        <v>7</v>
      </c>
    </row>
    <row r="12" spans="2:5">
      <c r="B12"/>
      <c r="C12" t="s">
        <v>207</v>
      </c>
      <c r="D12" s="40">
        <v>1</v>
      </c>
      <c r="E12" s="40">
        <v>2</v>
      </c>
    </row>
    <row r="13" spans="2:5">
      <c r="B13" t="s">
        <v>181</v>
      </c>
      <c r="C13" t="s">
        <v>208</v>
      </c>
      <c r="D13" s="40">
        <v>3</v>
      </c>
      <c r="E13" s="40">
        <v>6</v>
      </c>
    </row>
    <row r="14" spans="2:5">
      <c r="B14"/>
      <c r="C14" t="s">
        <v>206</v>
      </c>
      <c r="D14" s="40">
        <v>3</v>
      </c>
      <c r="E14" s="40">
        <v>7</v>
      </c>
    </row>
    <row r="15" spans="2:5">
      <c r="B15"/>
      <c r="C15" t="s">
        <v>207</v>
      </c>
      <c r="D15" s="40">
        <v>2</v>
      </c>
      <c r="E15" s="40">
        <v>1</v>
      </c>
    </row>
    <row r="16" spans="2:5">
      <c r="B16" t="s">
        <v>205</v>
      </c>
      <c r="C16"/>
      <c r="D16" s="40">
        <v>25</v>
      </c>
      <c r="E16" s="40">
        <v>60</v>
      </c>
    </row>
    <row r="17" spans="2:5">
      <c r="B17"/>
      <c r="C17"/>
      <c r="D17"/>
      <c r="E17"/>
    </row>
    <row r="18" spans="2:5">
      <c r="B18"/>
      <c r="C18"/>
      <c r="D18"/>
      <c r="E18"/>
    </row>
    <row r="19" spans="2:5">
      <c r="B19"/>
      <c r="C19"/>
      <c r="D19"/>
      <c r="E19"/>
    </row>
    <row r="20" spans="2:5">
      <c r="B20"/>
      <c r="C20"/>
      <c r="D20"/>
      <c r="E20"/>
    </row>
    <row r="21" spans="2:5">
      <c r="B21"/>
      <c r="C21"/>
      <c r="D21"/>
    </row>
    <row r="22" spans="2:5">
      <c r="B22"/>
      <c r="C22"/>
      <c r="D22"/>
    </row>
    <row r="23" spans="2:5">
      <c r="B23"/>
      <c r="C23"/>
      <c r="D23"/>
    </row>
    <row r="24" spans="2:5">
      <c r="B24"/>
    </row>
    <row r="25" spans="2:5">
      <c r="B25"/>
    </row>
    <row r="26" spans="2:5">
      <c r="B26"/>
    </row>
    <row r="27" spans="2:5">
      <c r="B27"/>
    </row>
    <row r="28" spans="2:5">
      <c r="B28"/>
    </row>
    <row r="29" spans="2:5">
      <c r="B29"/>
    </row>
    <row r="30" spans="2:5">
      <c r="B30"/>
    </row>
    <row r="31" spans="2:5">
      <c r="B31"/>
    </row>
    <row r="32" spans="2:5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2:F20"/>
  <sheetViews>
    <sheetView workbookViewId="0">
      <selection activeCell="I46" sqref="I46"/>
    </sheetView>
  </sheetViews>
  <sheetFormatPr defaultRowHeight="16.5"/>
  <cols>
    <col min="1" max="1" width="3.25" customWidth="1"/>
    <col min="5" max="5" width="15.25" customWidth="1"/>
  </cols>
  <sheetData>
    <row r="2" spans="2:6">
      <c r="B2" s="35" t="s">
        <v>0</v>
      </c>
      <c r="C2" s="35" t="s">
        <v>1</v>
      </c>
      <c r="D2" s="35" t="s">
        <v>2</v>
      </c>
      <c r="E2" s="35" t="s">
        <v>299</v>
      </c>
      <c r="F2" s="35" t="s">
        <v>300</v>
      </c>
    </row>
    <row r="3" spans="2:6" hidden="1">
      <c r="B3" s="3" t="s">
        <v>15</v>
      </c>
      <c r="C3" s="3" t="s">
        <v>37</v>
      </c>
      <c r="D3" s="3" t="s">
        <v>49</v>
      </c>
      <c r="E3" s="46" t="s">
        <v>301</v>
      </c>
      <c r="F3" s="46">
        <v>6</v>
      </c>
    </row>
    <row r="4" spans="2:6" hidden="1">
      <c r="B4" s="3" t="s">
        <v>19</v>
      </c>
      <c r="C4" s="3" t="s">
        <v>34</v>
      </c>
      <c r="D4" s="3" t="s">
        <v>10</v>
      </c>
      <c r="E4" s="46" t="s">
        <v>302</v>
      </c>
      <c r="F4" s="46">
        <v>5</v>
      </c>
    </row>
    <row r="5" spans="2:6" hidden="1">
      <c r="B5" s="3" t="s">
        <v>28</v>
      </c>
      <c r="C5" s="3" t="s">
        <v>35</v>
      </c>
      <c r="D5" s="3" t="s">
        <v>48</v>
      </c>
      <c r="E5" s="46" t="s">
        <v>302</v>
      </c>
      <c r="F5" s="46">
        <v>6</v>
      </c>
    </row>
    <row r="6" spans="2:6">
      <c r="B6" s="3" t="s">
        <v>30</v>
      </c>
      <c r="C6" s="3" t="s">
        <v>56</v>
      </c>
      <c r="D6" s="3" t="s">
        <v>13</v>
      </c>
      <c r="E6" s="46" t="s">
        <v>301</v>
      </c>
      <c r="F6" s="46">
        <v>14</v>
      </c>
    </row>
    <row r="7" spans="2:6">
      <c r="B7" s="3" t="s">
        <v>9</v>
      </c>
      <c r="C7" s="3" t="s">
        <v>39</v>
      </c>
      <c r="D7" s="3" t="s">
        <v>10</v>
      </c>
      <c r="E7" s="46" t="s">
        <v>303</v>
      </c>
      <c r="F7" s="46">
        <v>16</v>
      </c>
    </row>
    <row r="8" spans="2:6" hidden="1">
      <c r="B8" s="3" t="s">
        <v>29</v>
      </c>
      <c r="C8" s="3" t="s">
        <v>46</v>
      </c>
      <c r="D8" s="3" t="s">
        <v>48</v>
      </c>
      <c r="E8" s="46" t="s">
        <v>301</v>
      </c>
      <c r="F8" s="46">
        <v>11</v>
      </c>
    </row>
    <row r="9" spans="2:6" hidden="1">
      <c r="B9" s="3" t="s">
        <v>31</v>
      </c>
      <c r="C9" s="3" t="s">
        <v>57</v>
      </c>
      <c r="D9" s="3" t="s">
        <v>49</v>
      </c>
      <c r="E9" s="46" t="s">
        <v>301</v>
      </c>
      <c r="F9" s="46">
        <v>8</v>
      </c>
    </row>
    <row r="10" spans="2:6" hidden="1">
      <c r="B10" s="3" t="s">
        <v>22</v>
      </c>
      <c r="C10" s="3" t="s">
        <v>44</v>
      </c>
      <c r="D10" s="3" t="s">
        <v>49</v>
      </c>
      <c r="E10" s="46" t="s">
        <v>303</v>
      </c>
      <c r="F10" s="46">
        <v>10</v>
      </c>
    </row>
    <row r="11" spans="2:6" hidden="1">
      <c r="B11" s="3" t="s">
        <v>23</v>
      </c>
      <c r="C11" s="3" t="s">
        <v>43</v>
      </c>
      <c r="D11" s="3" t="s">
        <v>10</v>
      </c>
      <c r="E11" s="46" t="s">
        <v>301</v>
      </c>
      <c r="F11" s="46">
        <v>12</v>
      </c>
    </row>
    <row r="12" spans="2:6" hidden="1">
      <c r="B12" s="3" t="s">
        <v>27</v>
      </c>
      <c r="C12" s="3" t="s">
        <v>33</v>
      </c>
      <c r="D12" s="3" t="s">
        <v>48</v>
      </c>
      <c r="E12" s="46" t="s">
        <v>301</v>
      </c>
      <c r="F12" s="46">
        <v>5</v>
      </c>
    </row>
    <row r="13" spans="2:6" hidden="1">
      <c r="B13" s="3" t="s">
        <v>17</v>
      </c>
      <c r="C13" s="3" t="s">
        <v>47</v>
      </c>
      <c r="D13" s="3" t="s">
        <v>10</v>
      </c>
      <c r="E13" s="46" t="s">
        <v>303</v>
      </c>
      <c r="F13" s="46">
        <v>8</v>
      </c>
    </row>
    <row r="14" spans="2:6" hidden="1">
      <c r="B14" s="3" t="s">
        <v>12</v>
      </c>
      <c r="C14" s="3" t="s">
        <v>38</v>
      </c>
      <c r="D14" s="3" t="s">
        <v>48</v>
      </c>
      <c r="E14" s="46" t="s">
        <v>302</v>
      </c>
      <c r="F14" s="46">
        <v>11</v>
      </c>
    </row>
    <row r="15" spans="2:6" hidden="1">
      <c r="B15" s="3" t="s">
        <v>20</v>
      </c>
      <c r="C15" s="3" t="s">
        <v>40</v>
      </c>
      <c r="D15" s="3" t="s">
        <v>10</v>
      </c>
      <c r="E15" s="46" t="s">
        <v>303</v>
      </c>
      <c r="F15" s="46">
        <v>2</v>
      </c>
    </row>
    <row r="16" spans="2:6" hidden="1">
      <c r="B16" s="3" t="s">
        <v>24</v>
      </c>
      <c r="C16" s="3" t="s">
        <v>36</v>
      </c>
      <c r="D16" s="3" t="s">
        <v>48</v>
      </c>
      <c r="E16" s="46" t="s">
        <v>303</v>
      </c>
      <c r="F16" s="46">
        <v>12</v>
      </c>
    </row>
    <row r="17" spans="2:6" hidden="1">
      <c r="B17" s="3" t="s">
        <v>25</v>
      </c>
      <c r="C17" s="3" t="s">
        <v>42</v>
      </c>
      <c r="D17" s="3" t="s">
        <v>49</v>
      </c>
      <c r="E17" s="46" t="s">
        <v>303</v>
      </c>
      <c r="F17" s="46">
        <v>9</v>
      </c>
    </row>
    <row r="18" spans="2:6" hidden="1">
      <c r="B18" s="3" t="s">
        <v>21</v>
      </c>
      <c r="C18" s="3" t="s">
        <v>41</v>
      </c>
      <c r="D18" s="3" t="s">
        <v>49</v>
      </c>
      <c r="E18" s="46" t="s">
        <v>302</v>
      </c>
      <c r="F18" s="46">
        <v>1</v>
      </c>
    </row>
    <row r="19" spans="2:6" hidden="1">
      <c r="B19" s="3" t="s">
        <v>32</v>
      </c>
      <c r="C19" s="3" t="s">
        <v>58</v>
      </c>
      <c r="D19" s="3" t="s">
        <v>49</v>
      </c>
      <c r="E19" s="46" t="s">
        <v>302</v>
      </c>
      <c r="F19" s="46">
        <v>4</v>
      </c>
    </row>
    <row r="20" spans="2:6">
      <c r="B20" s="3" t="s">
        <v>26</v>
      </c>
      <c r="C20" s="3" t="s">
        <v>45</v>
      </c>
      <c r="D20" s="3" t="s">
        <v>48</v>
      </c>
      <c r="E20" s="46" t="s">
        <v>303</v>
      </c>
      <c r="F20" s="46">
        <v>14</v>
      </c>
    </row>
  </sheetData>
  <autoFilter ref="B2:F20" xr:uid="{00000000-0009-0000-0000-000004000000}">
    <filterColumn colId="4">
      <iconFilter iconSet="4Rating" iconId="3"/>
    </filterColumn>
  </autoFilter>
  <dataConsolidate function="average" topLabels="1">
    <dataRefs count="3">
      <dataRef ref="B3:D9" sheet="분석작업-2"/>
      <dataRef ref="G3:I9" sheet="분석작업-2"/>
      <dataRef ref="L3:N9" sheet="분석작업-2"/>
    </dataRefs>
  </dataConsolidate>
  <phoneticPr fontId="1" type="noConversion"/>
  <conditionalFormatting sqref="F3:F20">
    <cfRule type="iconSet" priority="1">
      <iconSet iconSet="4Rating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I26"/>
  <sheetViews>
    <sheetView workbookViewId="0">
      <selection activeCell="J30" sqref="J30"/>
    </sheetView>
  </sheetViews>
  <sheetFormatPr defaultRowHeight="16.5"/>
  <sheetData>
    <row r="1" spans="1:9" ht="17.25">
      <c r="A1" s="50" t="s">
        <v>213</v>
      </c>
      <c r="B1" s="50"/>
      <c r="C1" s="50"/>
      <c r="D1" s="50"/>
      <c r="E1" s="50"/>
      <c r="F1" s="1"/>
      <c r="G1" s="1"/>
      <c r="H1" s="1"/>
      <c r="I1" s="1"/>
    </row>
    <row r="2" spans="1:9">
      <c r="A2" s="41" t="s">
        <v>214</v>
      </c>
      <c r="B2" s="41" t="s">
        <v>215</v>
      </c>
      <c r="C2" s="41" t="s">
        <v>216</v>
      </c>
      <c r="D2" s="41" t="s">
        <v>217</v>
      </c>
      <c r="E2" s="41" t="s">
        <v>218</v>
      </c>
      <c r="F2" s="1"/>
      <c r="G2" s="1"/>
      <c r="H2" s="1"/>
      <c r="I2" s="1"/>
    </row>
    <row r="3" spans="1:9">
      <c r="A3" s="51" t="s">
        <v>219</v>
      </c>
      <c r="B3" s="42" t="s">
        <v>221</v>
      </c>
      <c r="C3" s="43">
        <f>SUM(C4:C6)</f>
        <v>164</v>
      </c>
      <c r="D3" s="43">
        <f>SUM(D4:D6)</f>
        <v>206</v>
      </c>
      <c r="E3" s="44">
        <f t="shared" ref="E3:E9" si="0">SUM(C3:D3)</f>
        <v>370</v>
      </c>
      <c r="F3" s="1"/>
      <c r="G3" s="1"/>
      <c r="H3" s="1"/>
      <c r="I3" s="1"/>
    </row>
    <row r="4" spans="1:9">
      <c r="A4" s="51"/>
      <c r="B4" s="45" t="s">
        <v>222</v>
      </c>
      <c r="C4" s="43">
        <v>45</v>
      </c>
      <c r="D4" s="43">
        <v>76</v>
      </c>
      <c r="E4" s="44">
        <f t="shared" si="0"/>
        <v>121</v>
      </c>
      <c r="F4" s="1"/>
      <c r="G4" s="1"/>
      <c r="H4" s="1"/>
      <c r="I4" s="1"/>
    </row>
    <row r="5" spans="1:9">
      <c r="A5" s="51"/>
      <c r="B5" s="45" t="s">
        <v>223</v>
      </c>
      <c r="C5" s="43">
        <v>76</v>
      </c>
      <c r="D5" s="43">
        <v>87</v>
      </c>
      <c r="E5" s="44">
        <f t="shared" si="0"/>
        <v>163</v>
      </c>
      <c r="F5" s="1"/>
      <c r="G5" s="1"/>
      <c r="H5" s="1"/>
      <c r="I5" s="1"/>
    </row>
    <row r="6" spans="1:9">
      <c r="A6" s="51"/>
      <c r="B6" s="45" t="s">
        <v>224</v>
      </c>
      <c r="C6" s="43">
        <v>43</v>
      </c>
      <c r="D6" s="43">
        <v>43</v>
      </c>
      <c r="E6" s="44">
        <f t="shared" si="0"/>
        <v>86</v>
      </c>
      <c r="F6" s="1"/>
      <c r="G6" s="1"/>
      <c r="H6" s="1"/>
      <c r="I6" s="1"/>
    </row>
    <row r="7" spans="1:9">
      <c r="A7" s="51" t="s">
        <v>220</v>
      </c>
      <c r="B7" s="42" t="s">
        <v>225</v>
      </c>
      <c r="C7" s="43">
        <f>SUM(C8:C9)</f>
        <v>57</v>
      </c>
      <c r="D7" s="43">
        <f>SUM(D8:D9)</f>
        <v>82</v>
      </c>
      <c r="E7" s="44">
        <f t="shared" si="0"/>
        <v>139</v>
      </c>
      <c r="F7" s="1"/>
      <c r="G7" s="1"/>
      <c r="H7" s="1"/>
      <c r="I7" s="1"/>
    </row>
    <row r="8" spans="1:9">
      <c r="A8" s="51"/>
      <c r="B8" s="45" t="s">
        <v>226</v>
      </c>
      <c r="C8" s="43">
        <v>23</v>
      </c>
      <c r="D8" s="43">
        <v>35</v>
      </c>
      <c r="E8" s="44">
        <f t="shared" si="0"/>
        <v>58</v>
      </c>
      <c r="F8" s="1"/>
      <c r="G8" s="1"/>
      <c r="H8" s="1"/>
      <c r="I8" s="1"/>
    </row>
    <row r="9" spans="1:9">
      <c r="A9" s="51"/>
      <c r="B9" s="45" t="s">
        <v>227</v>
      </c>
      <c r="C9" s="43">
        <v>34</v>
      </c>
      <c r="D9" s="43">
        <v>47</v>
      </c>
      <c r="E9" s="44">
        <f t="shared" si="0"/>
        <v>81</v>
      </c>
      <c r="F9" s="1"/>
      <c r="G9" s="1"/>
      <c r="H9" s="1"/>
      <c r="I9" s="1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1"/>
      <c r="B19" s="1"/>
      <c r="C19" s="1"/>
      <c r="D19" s="1"/>
      <c r="E19" s="1"/>
      <c r="F19" s="1"/>
      <c r="G19" s="1"/>
      <c r="H19" s="1"/>
      <c r="I19" s="1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1"/>
      <c r="B21" s="1"/>
      <c r="C21" s="1"/>
      <c r="D21" s="1"/>
      <c r="E21" s="1"/>
      <c r="F21" s="1"/>
      <c r="G21" s="1"/>
      <c r="H21" s="1"/>
      <c r="I21" s="1"/>
    </row>
    <row r="22" spans="1:9">
      <c r="A22" s="1"/>
      <c r="B22" s="1"/>
      <c r="C22" s="1"/>
      <c r="D22" s="1"/>
      <c r="E22" s="1"/>
      <c r="F22" s="1"/>
      <c r="G22" s="1"/>
      <c r="H22" s="1"/>
      <c r="I22" s="1"/>
    </row>
    <row r="23" spans="1:9">
      <c r="A23" s="1"/>
      <c r="B23" s="1"/>
      <c r="C23" s="1"/>
      <c r="D23" s="1"/>
      <c r="E23" s="1"/>
      <c r="F23" s="1"/>
      <c r="G23" s="1"/>
      <c r="H23" s="1"/>
      <c r="I23" s="1"/>
    </row>
    <row r="24" spans="1:9">
      <c r="A24" s="1"/>
      <c r="B24" s="1"/>
      <c r="C24" s="1"/>
      <c r="D24" s="1"/>
      <c r="E24" s="1"/>
      <c r="F24" s="1"/>
      <c r="G24" s="1"/>
      <c r="H24" s="1"/>
      <c r="I24" s="1"/>
    </row>
    <row r="25" spans="1:9">
      <c r="A25" s="1"/>
      <c r="B25" s="1"/>
      <c r="C25" s="1"/>
      <c r="D25" s="1"/>
      <c r="E25" s="1"/>
      <c r="F25" s="1"/>
      <c r="G25" s="1"/>
      <c r="H25" s="1"/>
      <c r="I25" s="1"/>
    </row>
    <row r="26" spans="1:9">
      <c r="A26" s="1"/>
      <c r="B26" s="1"/>
      <c r="C26" s="1"/>
      <c r="D26" s="1"/>
      <c r="E26" s="1"/>
      <c r="F26" s="1"/>
      <c r="G26" s="1"/>
      <c r="H26" s="1"/>
      <c r="I26" s="1"/>
    </row>
  </sheetData>
  <mergeCells count="3">
    <mergeCell ref="A1:E1"/>
    <mergeCell ref="A3:A6"/>
    <mergeCell ref="A7:A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2:J20"/>
  <sheetViews>
    <sheetView workbookViewId="0">
      <selection activeCell="J31" sqref="J31"/>
    </sheetView>
  </sheetViews>
  <sheetFormatPr defaultRowHeight="16.5"/>
  <cols>
    <col min="1" max="1" width="3.25" customWidth="1"/>
    <col min="6" max="6" width="11" bestFit="1" customWidth="1"/>
    <col min="7" max="9" width="12.875" bestFit="1" customWidth="1"/>
    <col min="10" max="10" width="13" bestFit="1" customWidth="1"/>
  </cols>
  <sheetData>
    <row r="2" spans="2:10">
      <c r="B2" s="35" t="s">
        <v>0</v>
      </c>
      <c r="C2" s="35" t="s">
        <v>1</v>
      </c>
      <c r="D2" s="35" t="s">
        <v>2</v>
      </c>
      <c r="E2" s="35" t="s">
        <v>3</v>
      </c>
      <c r="F2" s="35" t="s">
        <v>4</v>
      </c>
      <c r="G2" s="35" t="s">
        <v>5</v>
      </c>
      <c r="H2" s="35" t="s">
        <v>6</v>
      </c>
      <c r="I2" s="35" t="s">
        <v>7</v>
      </c>
      <c r="J2" s="35" t="s">
        <v>8</v>
      </c>
    </row>
    <row r="3" spans="2:10">
      <c r="B3" s="3" t="s">
        <v>15</v>
      </c>
      <c r="C3" s="3" t="s">
        <v>37</v>
      </c>
      <c r="D3" s="3" t="s">
        <v>49</v>
      </c>
      <c r="E3" s="3" t="s">
        <v>16</v>
      </c>
      <c r="F3" s="2">
        <v>43848</v>
      </c>
      <c r="G3" s="49">
        <v>37000</v>
      </c>
      <c r="H3" s="49">
        <v>-135000</v>
      </c>
      <c r="I3" s="49">
        <v>78000</v>
      </c>
      <c r="J3" s="49">
        <v>250000</v>
      </c>
    </row>
    <row r="4" spans="2:10">
      <c r="B4" s="3" t="s">
        <v>19</v>
      </c>
      <c r="C4" s="3" t="s">
        <v>34</v>
      </c>
      <c r="D4" s="3" t="s">
        <v>10</v>
      </c>
      <c r="E4" s="3" t="s">
        <v>11</v>
      </c>
      <c r="F4" s="2">
        <v>43844</v>
      </c>
      <c r="G4" s="49">
        <v>7700</v>
      </c>
      <c r="H4" s="49">
        <v>52200</v>
      </c>
      <c r="I4" s="49">
        <v>7700</v>
      </c>
      <c r="J4" s="49">
        <v>-67600</v>
      </c>
    </row>
    <row r="5" spans="2:10">
      <c r="B5" s="3" t="s">
        <v>28</v>
      </c>
      <c r="C5" s="3" t="s">
        <v>35</v>
      </c>
      <c r="D5" s="3" t="s">
        <v>48</v>
      </c>
      <c r="E5" s="3" t="s">
        <v>11</v>
      </c>
      <c r="F5" s="2">
        <v>43845</v>
      </c>
      <c r="G5" s="49">
        <v>55000</v>
      </c>
      <c r="H5" s="49">
        <v>-122500</v>
      </c>
      <c r="I5" s="49">
        <v>12500</v>
      </c>
      <c r="J5" s="49">
        <v>190000</v>
      </c>
    </row>
    <row r="6" spans="2:10">
      <c r="B6" s="3" t="s">
        <v>30</v>
      </c>
      <c r="C6" s="3" t="s">
        <v>56</v>
      </c>
      <c r="D6" s="3" t="s">
        <v>13</v>
      </c>
      <c r="E6" s="3" t="s">
        <v>14</v>
      </c>
      <c r="F6" s="2">
        <v>43842</v>
      </c>
      <c r="G6" s="49">
        <v>12500</v>
      </c>
      <c r="H6" s="49">
        <v>5800</v>
      </c>
      <c r="I6" s="49">
        <v>-22020</v>
      </c>
      <c r="J6" s="49">
        <v>0</v>
      </c>
    </row>
    <row r="7" spans="2:10">
      <c r="B7" s="3" t="s">
        <v>9</v>
      </c>
      <c r="C7" s="3" t="s">
        <v>39</v>
      </c>
      <c r="D7" s="3" t="s">
        <v>10</v>
      </c>
      <c r="E7" s="3" t="s">
        <v>11</v>
      </c>
      <c r="F7" s="2">
        <v>43848</v>
      </c>
      <c r="G7" s="49">
        <v>0</v>
      </c>
      <c r="H7" s="49">
        <v>135000</v>
      </c>
      <c r="I7" s="49">
        <v>152000</v>
      </c>
      <c r="J7" s="49">
        <v>427520</v>
      </c>
    </row>
    <row r="8" spans="2:10">
      <c r="B8" s="3" t="s">
        <v>29</v>
      </c>
      <c r="C8" s="3" t="s">
        <v>46</v>
      </c>
      <c r="D8" s="3" t="s">
        <v>48</v>
      </c>
      <c r="E8" s="3" t="s">
        <v>18</v>
      </c>
      <c r="F8" s="2">
        <v>43838</v>
      </c>
      <c r="G8" s="49">
        <v>5800</v>
      </c>
      <c r="H8" s="49">
        <v>-135000</v>
      </c>
      <c r="I8" s="49">
        <v>2020</v>
      </c>
      <c r="J8" s="49">
        <v>142820</v>
      </c>
    </row>
    <row r="9" spans="2:10">
      <c r="B9" s="3" t="s">
        <v>31</v>
      </c>
      <c r="C9" s="3" t="s">
        <v>57</v>
      </c>
      <c r="D9" s="3" t="s">
        <v>49</v>
      </c>
      <c r="E9" s="3" t="s">
        <v>11</v>
      </c>
      <c r="F9" s="2">
        <v>43843</v>
      </c>
      <c r="G9" s="49">
        <v>7000</v>
      </c>
      <c r="H9" s="49">
        <v>38700</v>
      </c>
      <c r="I9" s="49">
        <v>122500</v>
      </c>
      <c r="J9" s="49">
        <v>168200</v>
      </c>
    </row>
    <row r="10" spans="2:10">
      <c r="B10" s="3" t="s">
        <v>22</v>
      </c>
      <c r="C10" s="3" t="s">
        <v>44</v>
      </c>
      <c r="D10" s="3" t="s">
        <v>49</v>
      </c>
      <c r="E10" s="3" t="s">
        <v>14</v>
      </c>
      <c r="F10" s="2">
        <v>43833</v>
      </c>
      <c r="G10" s="49">
        <v>52200</v>
      </c>
      <c r="H10" s="49">
        <v>14560</v>
      </c>
      <c r="I10" s="49">
        <v>0</v>
      </c>
      <c r="J10" s="49">
        <v>105460</v>
      </c>
    </row>
    <row r="11" spans="2:10">
      <c r="B11" s="3" t="s">
        <v>23</v>
      </c>
      <c r="C11" s="3" t="s">
        <v>43</v>
      </c>
      <c r="D11" s="3" t="s">
        <v>10</v>
      </c>
      <c r="E11" s="3" t="s">
        <v>18</v>
      </c>
      <c r="F11" s="2">
        <v>43852</v>
      </c>
      <c r="G11" s="49">
        <v>-38700</v>
      </c>
      <c r="H11" s="49">
        <v>37000</v>
      </c>
      <c r="I11" s="49">
        <v>14560</v>
      </c>
      <c r="J11" s="49">
        <v>90260</v>
      </c>
    </row>
    <row r="12" spans="2:10">
      <c r="B12" s="3" t="s">
        <v>27</v>
      </c>
      <c r="C12" s="3" t="s">
        <v>33</v>
      </c>
      <c r="D12" s="3" t="s">
        <v>48</v>
      </c>
      <c r="E12" s="3" t="s">
        <v>16</v>
      </c>
      <c r="F12" s="2">
        <v>43853</v>
      </c>
      <c r="G12" s="49">
        <v>135000</v>
      </c>
      <c r="H12" s="49">
        <v>178000</v>
      </c>
      <c r="I12" s="49">
        <v>120200</v>
      </c>
      <c r="J12" s="49">
        <v>433200</v>
      </c>
    </row>
    <row r="13" spans="2:10">
      <c r="B13" s="3" t="s">
        <v>17</v>
      </c>
      <c r="C13" s="3" t="s">
        <v>47</v>
      </c>
      <c r="D13" s="3" t="s">
        <v>10</v>
      </c>
      <c r="E13" s="3" t="s">
        <v>18</v>
      </c>
      <c r="F13" s="2">
        <v>43852</v>
      </c>
      <c r="G13" s="49">
        <v>0</v>
      </c>
      <c r="H13" s="49">
        <v>21020</v>
      </c>
      <c r="I13" s="49">
        <v>37000</v>
      </c>
      <c r="J13" s="49">
        <v>96720</v>
      </c>
    </row>
    <row r="14" spans="2:10">
      <c r="B14" s="3" t="s">
        <v>12</v>
      </c>
      <c r="C14" s="3" t="s">
        <v>38</v>
      </c>
      <c r="D14" s="3" t="s">
        <v>48</v>
      </c>
      <c r="E14" s="3" t="s">
        <v>14</v>
      </c>
      <c r="F14" s="2">
        <v>43852</v>
      </c>
      <c r="G14" s="49">
        <v>122500</v>
      </c>
      <c r="H14" s="49">
        <v>140520</v>
      </c>
      <c r="I14" s="49">
        <v>-78000</v>
      </c>
      <c r="J14" s="49">
        <v>341020</v>
      </c>
    </row>
    <row r="15" spans="2:10">
      <c r="B15" s="3" t="s">
        <v>20</v>
      </c>
      <c r="C15" s="3" t="s">
        <v>40</v>
      </c>
      <c r="D15" s="3" t="s">
        <v>10</v>
      </c>
      <c r="E15" s="3" t="s">
        <v>16</v>
      </c>
      <c r="F15" s="2">
        <v>43851</v>
      </c>
      <c r="G15" s="49">
        <v>135000</v>
      </c>
      <c r="H15" s="49">
        <v>55000</v>
      </c>
      <c r="I15" s="49">
        <v>135000</v>
      </c>
      <c r="J15" s="49">
        <v>325000</v>
      </c>
    </row>
    <row r="16" spans="2:10">
      <c r="B16" s="3" t="s">
        <v>24</v>
      </c>
      <c r="C16" s="3" t="s">
        <v>36</v>
      </c>
      <c r="D16" s="3" t="s">
        <v>48</v>
      </c>
      <c r="E16" s="3" t="s">
        <v>14</v>
      </c>
      <c r="F16" s="2">
        <v>43852</v>
      </c>
      <c r="G16" s="49">
        <v>-11250</v>
      </c>
      <c r="H16" s="49">
        <v>0</v>
      </c>
      <c r="I16" s="49">
        <v>52200</v>
      </c>
      <c r="J16" s="49">
        <v>85470</v>
      </c>
    </row>
    <row r="17" spans="2:10">
      <c r="B17" s="3" t="s">
        <v>25</v>
      </c>
      <c r="C17" s="3" t="s">
        <v>42</v>
      </c>
      <c r="D17" s="3" t="s">
        <v>49</v>
      </c>
      <c r="E17" s="3" t="s">
        <v>18</v>
      </c>
      <c r="F17" s="2">
        <v>43846</v>
      </c>
      <c r="G17" s="49">
        <v>78000</v>
      </c>
      <c r="H17" s="49">
        <v>2020</v>
      </c>
      <c r="I17" s="49">
        <v>135000</v>
      </c>
      <c r="J17" s="49">
        <v>215020</v>
      </c>
    </row>
    <row r="18" spans="2:10">
      <c r="B18" s="3" t="s">
        <v>21</v>
      </c>
      <c r="C18" s="3" t="s">
        <v>41</v>
      </c>
      <c r="D18" s="3" t="s">
        <v>49</v>
      </c>
      <c r="E18" s="3" t="s">
        <v>14</v>
      </c>
      <c r="F18" s="2">
        <v>43841</v>
      </c>
      <c r="G18" s="49">
        <v>37000</v>
      </c>
      <c r="H18" s="49">
        <v>-38000</v>
      </c>
      <c r="I18" s="49">
        <v>29000</v>
      </c>
      <c r="J18" s="49">
        <v>104000</v>
      </c>
    </row>
    <row r="19" spans="2:10">
      <c r="B19" s="3" t="s">
        <v>32</v>
      </c>
      <c r="C19" s="3" t="s">
        <v>58</v>
      </c>
      <c r="D19" s="3" t="s">
        <v>49</v>
      </c>
      <c r="E19" s="3" t="s">
        <v>11</v>
      </c>
      <c r="F19" s="2">
        <v>43842</v>
      </c>
      <c r="G19" s="49">
        <v>38700</v>
      </c>
      <c r="H19" s="49">
        <v>78000</v>
      </c>
      <c r="I19" s="49">
        <v>0</v>
      </c>
      <c r="J19" s="49">
        <v>-155400</v>
      </c>
    </row>
    <row r="20" spans="2:10">
      <c r="B20" s="3" t="s">
        <v>26</v>
      </c>
      <c r="C20" s="3" t="s">
        <v>45</v>
      </c>
      <c r="D20" s="3" t="s">
        <v>48</v>
      </c>
      <c r="E20" s="3" t="s">
        <v>16</v>
      </c>
      <c r="F20" s="2">
        <v>43852</v>
      </c>
      <c r="G20" s="49">
        <v>2020</v>
      </c>
      <c r="H20" s="49">
        <v>80250</v>
      </c>
      <c r="I20" s="49">
        <v>11250</v>
      </c>
      <c r="J20" s="49">
        <v>93520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구매실적서식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서식지우기">
                <anchor moveWithCells="1" siz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K31"/>
  <sheetViews>
    <sheetView workbookViewId="0">
      <selection activeCell="H28" sqref="H28"/>
    </sheetView>
  </sheetViews>
  <sheetFormatPr defaultColWidth="9" defaultRowHeight="16.5"/>
  <cols>
    <col min="1" max="1" width="4.375" style="38" customWidth="1"/>
    <col min="2" max="2" width="9" style="38"/>
    <col min="3" max="3" width="12.125" style="47" bestFit="1" customWidth="1"/>
    <col min="4" max="4" width="9" style="38"/>
    <col min="5" max="5" width="12.625" style="38" customWidth="1"/>
    <col min="6" max="6" width="10.25" style="38" customWidth="1"/>
    <col min="7" max="7" width="13.75" style="38" customWidth="1"/>
    <col min="8" max="8" width="9" style="38"/>
    <col min="9" max="9" width="12.25" style="38" customWidth="1"/>
    <col min="10" max="10" width="10.75" style="38" customWidth="1"/>
    <col min="11" max="16384" width="9" style="38"/>
  </cols>
  <sheetData>
    <row r="1" spans="2:11">
      <c r="C1" s="38"/>
    </row>
    <row r="2" spans="2:11">
      <c r="C2" s="38"/>
    </row>
    <row r="3" spans="2:11">
      <c r="B3" s="38" t="s">
        <v>228</v>
      </c>
      <c r="C3" s="38"/>
      <c r="I3" t="s">
        <v>229</v>
      </c>
      <c r="J3"/>
      <c r="K3"/>
    </row>
    <row r="4" spans="2:11">
      <c r="B4" s="46" t="s">
        <v>230</v>
      </c>
      <c r="C4" s="46" t="s">
        <v>231</v>
      </c>
      <c r="D4" s="46" t="s">
        <v>232</v>
      </c>
      <c r="E4" s="46" t="s">
        <v>233</v>
      </c>
      <c r="F4" s="46" t="s">
        <v>234</v>
      </c>
      <c r="G4" s="46" t="s">
        <v>235</v>
      </c>
      <c r="I4" s="46" t="s">
        <v>236</v>
      </c>
      <c r="J4" s="46" t="s">
        <v>232</v>
      </c>
      <c r="K4"/>
    </row>
    <row r="5" spans="2:11">
      <c r="B5" s="46" t="s">
        <v>293</v>
      </c>
      <c r="C5" s="46" t="s">
        <v>295</v>
      </c>
      <c r="D5" s="46" t="s">
        <v>296</v>
      </c>
      <c r="E5" s="46" t="s">
        <v>294</v>
      </c>
      <c r="F5" s="46" t="s">
        <v>297</v>
      </c>
      <c r="G5" s="46" t="s">
        <v>298</v>
      </c>
      <c r="I5" s="46" t="s">
        <v>246</v>
      </c>
      <c r="J5" s="46" t="s">
        <v>237</v>
      </c>
      <c r="K5"/>
    </row>
    <row r="6" spans="2:11">
      <c r="B6" s="46"/>
      <c r="C6" s="46"/>
      <c r="D6" s="46"/>
      <c r="E6" s="46"/>
      <c r="F6" s="46"/>
      <c r="G6" s="46"/>
      <c r="I6" s="46" t="s">
        <v>247</v>
      </c>
      <c r="J6" s="46" t="s">
        <v>238</v>
      </c>
      <c r="K6"/>
    </row>
    <row r="7" spans="2:11">
      <c r="B7" s="46"/>
      <c r="C7" s="46"/>
      <c r="D7" s="46"/>
      <c r="E7" s="46"/>
      <c r="F7" s="46"/>
      <c r="G7" s="46"/>
      <c r="I7" s="46" t="s">
        <v>248</v>
      </c>
      <c r="J7" s="46" t="s">
        <v>239</v>
      </c>
      <c r="K7"/>
    </row>
    <row r="8" spans="2:11">
      <c r="B8" s="46"/>
      <c r="C8" s="46"/>
      <c r="D8" s="46"/>
      <c r="E8" s="46"/>
      <c r="F8" s="46"/>
      <c r="G8" s="46"/>
      <c r="I8" s="46" t="s">
        <v>249</v>
      </c>
      <c r="J8" s="46" t="s">
        <v>240</v>
      </c>
      <c r="K8"/>
    </row>
    <row r="9" spans="2:11">
      <c r="B9" s="46"/>
      <c r="C9" s="46"/>
      <c r="D9" s="46"/>
      <c r="E9" s="46"/>
      <c r="F9" s="46"/>
      <c r="G9" s="46"/>
      <c r="I9" s="46" t="s">
        <v>250</v>
      </c>
      <c r="J9" s="46" t="s">
        <v>241</v>
      </c>
      <c r="K9"/>
    </row>
    <row r="10" spans="2:11">
      <c r="B10" s="46"/>
      <c r="C10" s="46"/>
      <c r="D10" s="46"/>
      <c r="E10" s="46"/>
      <c r="F10" s="46"/>
      <c r="G10" s="46"/>
      <c r="I10" s="46" t="s">
        <v>251</v>
      </c>
      <c r="J10" s="46" t="s">
        <v>242</v>
      </c>
      <c r="K10"/>
    </row>
    <row r="11" spans="2:11">
      <c r="B11" s="46"/>
      <c r="C11" s="46"/>
      <c r="D11" s="46"/>
      <c r="E11" s="46"/>
      <c r="F11" s="46"/>
      <c r="G11" s="46"/>
      <c r="I11" s="46" t="s">
        <v>254</v>
      </c>
      <c r="J11" s="46" t="s">
        <v>243</v>
      </c>
      <c r="K11"/>
    </row>
    <row r="12" spans="2:11">
      <c r="B12" s="46"/>
      <c r="C12" s="46"/>
      <c r="D12" s="46"/>
      <c r="E12" s="46"/>
      <c r="F12" s="46"/>
      <c r="G12" s="46"/>
      <c r="I12" s="46" t="s">
        <v>252</v>
      </c>
      <c r="J12" s="46" t="s">
        <v>244</v>
      </c>
      <c r="K12"/>
    </row>
    <row r="13" spans="2:11">
      <c r="B13" s="46"/>
      <c r="C13" s="46"/>
      <c r="D13" s="46"/>
      <c r="E13" s="46"/>
      <c r="F13" s="46"/>
      <c r="G13" s="46"/>
      <c r="I13" s="46" t="s">
        <v>253</v>
      </c>
      <c r="J13" s="46" t="s">
        <v>245</v>
      </c>
      <c r="K13"/>
    </row>
    <row r="14" spans="2:11">
      <c r="B14" s="46"/>
      <c r="C14" s="48"/>
      <c r="D14" s="46"/>
      <c r="E14" s="46"/>
      <c r="F14" s="46"/>
      <c r="G14" s="46"/>
      <c r="I14"/>
      <c r="J14"/>
    </row>
    <row r="15" spans="2:11">
      <c r="I15"/>
      <c r="J15"/>
    </row>
    <row r="16" spans="2:11">
      <c r="I16"/>
      <c r="J16"/>
    </row>
    <row r="17" spans="9:10">
      <c r="I17"/>
      <c r="J17"/>
    </row>
    <row r="18" spans="9:10">
      <c r="I18"/>
      <c r="J18"/>
    </row>
    <row r="19" spans="9:10">
      <c r="I19"/>
      <c r="J19"/>
    </row>
    <row r="20" spans="9:10">
      <c r="I20"/>
      <c r="J20"/>
    </row>
    <row r="21" spans="9:10">
      <c r="I21"/>
      <c r="J21"/>
    </row>
    <row r="22" spans="9:10">
      <c r="I22"/>
      <c r="J22"/>
    </row>
    <row r="23" spans="9:10">
      <c r="I23"/>
      <c r="J23"/>
    </row>
    <row r="24" spans="9:10">
      <c r="I24"/>
      <c r="J24"/>
    </row>
    <row r="25" spans="9:10">
      <c r="I25"/>
      <c r="J25"/>
    </row>
    <row r="26" spans="9:10">
      <c r="I26"/>
      <c r="J26"/>
    </row>
    <row r="27" spans="9:10">
      <c r="I27"/>
      <c r="J27"/>
    </row>
    <row r="28" spans="9:10">
      <c r="I28"/>
      <c r="J28"/>
    </row>
    <row r="29" spans="9:10">
      <c r="I29"/>
      <c r="J29"/>
    </row>
    <row r="30" spans="9:10">
      <c r="I30"/>
      <c r="J30"/>
    </row>
    <row r="31" spans="9:10">
      <c r="I31"/>
      <c r="J31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md예약">
          <controlPr defaultSize="0" autoLine="0" autoPict="0" r:id="rId4">
            <anchor moveWithCells="1">
              <from>
                <xdr:col>5</xdr:col>
                <xdr:colOff>219075</xdr:colOff>
                <xdr:row>0</xdr:row>
                <xdr:rowOff>76200</xdr:rowOff>
              </from>
              <to>
                <xdr:col>6</xdr:col>
                <xdr:colOff>533400</xdr:colOff>
                <xdr:row>2</xdr:row>
                <xdr:rowOff>9525</xdr:rowOff>
              </to>
            </anchor>
          </controlPr>
        </control>
      </mc:Choice>
      <mc:Fallback>
        <control shapeId="16385" r:id="rId3" name="cmd예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8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Chart</vt:lpstr>
      <vt:lpstr>'기본작업-1'!Criteria</vt:lpstr>
      <vt:lpstr>'기본작업-1'!Extract</vt:lpstr>
      <vt:lpstr>'기본작업-1'!MS_Access_Database_Query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김진원</cp:lastModifiedBy>
  <cp:lastPrinted>2020-05-01T03:00:35Z</cp:lastPrinted>
  <dcterms:created xsi:type="dcterms:W3CDTF">2020-04-30T03:23:19Z</dcterms:created>
  <dcterms:modified xsi:type="dcterms:W3CDTF">2023-11-02T06:48:14Z</dcterms:modified>
</cp:coreProperties>
</file>