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4_컴활1급\엑셀\완성파일\최신유형기출\"/>
    </mc:Choice>
  </mc:AlternateContent>
  <xr:revisionPtr revIDLastSave="0" documentId="13_ncr:1_{FCA04834-76A4-406A-B881-1E5362A00AA2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기본작업-1" sheetId="2" r:id="rId1"/>
    <sheet name="기본작업-2" sheetId="3" r:id="rId2"/>
    <sheet name="계산작업" sheetId="4" r:id="rId3"/>
    <sheet name="분석작업-1" sheetId="5" r:id="rId4"/>
    <sheet name="분석작업-2" sheetId="6" r:id="rId5"/>
    <sheet name="기타작업-1" sheetId="7" r:id="rId6"/>
    <sheet name="기타작업-2" sheetId="10" r:id="rId7"/>
    <sheet name="기타작업-3" sheetId="8" r:id="rId8"/>
  </sheets>
  <functionGroups builtInGroupCount="19"/>
  <definedNames>
    <definedName name="_xlnm._FilterDatabase" localSheetId="2" hidden="1">계산작업!#REF!</definedName>
    <definedName name="_xlnm._FilterDatabase" localSheetId="0" hidden="1">'기본작업-1'!$B$2:$J$28</definedName>
    <definedName name="_xlnm._FilterDatabase" localSheetId="1" hidden="1">'기본작업-2'!$B$4:$J$30</definedName>
    <definedName name="_xlnm._FilterDatabase" localSheetId="4" hidden="1">'분석작업-2'!$B$2:$J$28</definedName>
    <definedName name="_xlnm.Criteria" localSheetId="2">계산작업!#REF!</definedName>
    <definedName name="_xlnm.Criteria" localSheetId="0">'기본작업-1'!$B$30:$B$31</definedName>
    <definedName name="_xlnm.Criteria" localSheetId="1">'기본작업-2'!$B$32:$B$33</definedName>
    <definedName name="_xlnm.Extract" localSheetId="2">계산작업!#REF!</definedName>
    <definedName name="_xlnm.Extract" localSheetId="0">'기본작업-1'!$B$33:$J$33</definedName>
    <definedName name="_xlnm.Extract" localSheetId="1">'기본작업-2'!#REF!</definedName>
    <definedName name="MS_Access_Database_Query" localSheetId="3" hidden="1">'분석작업-1'!#REF!</definedName>
    <definedName name="_xlnm.Print_Area" localSheetId="1">'기본작업-2'!$B$4:$J$20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교복판매" name="교복판매" connection="교복판매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4" l="1" a="1"/>
  <c r="M8" i="4" s="1"/>
  <c r="K5" i="4" a="1"/>
  <c r="K5" i="4" s="1"/>
  <c r="L5" i="4" a="1"/>
  <c r="L5" i="4" s="1"/>
  <c r="M5" i="4" a="1"/>
  <c r="M5" i="4" s="1"/>
  <c r="N5" i="4" a="1"/>
  <c r="N5" i="4"/>
  <c r="K6" i="4" a="1"/>
  <c r="K6" i="4" s="1"/>
  <c r="L6" i="4" a="1"/>
  <c r="L6" i="4" s="1"/>
  <c r="M6" i="4" a="1"/>
  <c r="M6" i="4" s="1"/>
  <c r="N6" i="4" a="1"/>
  <c r="N6" i="4" s="1"/>
  <c r="J6" i="4" a="1"/>
  <c r="J6" i="4" s="1"/>
  <c r="J5" i="4" a="1"/>
  <c r="J5" i="4" s="1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12" i="4"/>
  <c r="I14" i="4"/>
  <c r="I15" i="4"/>
  <c r="I16" i="4"/>
  <c r="I20" i="4"/>
  <c r="I21" i="4"/>
  <c r="I25" i="4"/>
  <c r="I26" i="4"/>
  <c r="I29" i="4"/>
  <c r="I31" i="4"/>
  <c r="I34" i="4"/>
  <c r="I35" i="4"/>
  <c r="I36" i="4"/>
  <c r="J20" i="4" a="1"/>
  <c r="J28" i="4" a="1"/>
  <c r="J36" i="4" a="1"/>
  <c r="J19" i="4" a="1"/>
  <c r="J27" i="4" a="1"/>
  <c r="J35" i="4" a="1"/>
  <c r="J18" i="4" a="1"/>
  <c r="J25" i="4" a="1"/>
  <c r="J14" i="4" a="1"/>
  <c r="J22" i="4" a="1"/>
  <c r="J30" i="4" a="1"/>
  <c r="J13" i="4" a="1"/>
  <c r="J21" i="4" a="1"/>
  <c r="J29" i="4" a="1"/>
  <c r="J37" i="4" a="1"/>
  <c r="J34" i="4" a="1"/>
  <c r="J33" i="4" a="1"/>
  <c r="J16" i="4" a="1"/>
  <c r="J24" i="4" a="1"/>
  <c r="J32" i="4" a="1"/>
  <c r="J15" i="4" a="1"/>
  <c r="J23" i="4" a="1"/>
  <c r="J31" i="4" a="1"/>
  <c r="J12" i="4" a="1"/>
  <c r="J26" i="4" a="1"/>
  <c r="J17" i="4" a="1"/>
  <c r="J37" i="4" l="1"/>
  <c r="J35" i="4"/>
  <c r="J33" i="4"/>
  <c r="J31" i="4"/>
  <c r="J29" i="4"/>
  <c r="J27" i="4"/>
  <c r="J25" i="4"/>
  <c r="J23" i="4"/>
  <c r="J21" i="4"/>
  <c r="J19" i="4"/>
  <c r="J17" i="4"/>
  <c r="J15" i="4"/>
  <c r="J13" i="4"/>
  <c r="J36" i="4"/>
  <c r="J34" i="4"/>
  <c r="J32" i="4"/>
  <c r="J30" i="4"/>
  <c r="J28" i="4"/>
  <c r="J26" i="4"/>
  <c r="J24" i="4"/>
  <c r="J22" i="4"/>
  <c r="J20" i="4"/>
  <c r="J18" i="4"/>
  <c r="J16" i="4"/>
  <c r="J14" i="4"/>
  <c r="J12" i="4"/>
  <c r="G7" i="4"/>
  <c r="I12" i="4" s="1"/>
  <c r="F7" i="4"/>
  <c r="E7" i="4"/>
  <c r="D7" i="4"/>
  <c r="C7" i="4"/>
  <c r="G6" i="4"/>
  <c r="F6" i="4"/>
  <c r="E6" i="4"/>
  <c r="I33" i="4" s="1"/>
  <c r="D6" i="4"/>
  <c r="C6" i="4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B31" i="2"/>
  <c r="I23" i="4" l="1"/>
  <c r="I27" i="4"/>
  <c r="I18" i="4"/>
  <c r="I28" i="4"/>
  <c r="I30" i="4"/>
  <c r="I24" i="4"/>
  <c r="I17" i="4"/>
  <c r="I19" i="4"/>
  <c r="I32" i="4"/>
  <c r="I37" i="4"/>
  <c r="I13" i="4"/>
  <c r="I2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판매현황.accdb;DefaultDir=C:\OA;DriverId=25;FIL=MS Access;MaxBufferSize=2048;PageTimeout=5;" command="SELECT 교복판매.판매일자, 교복판매.판매직원, 교복판매.학교, 교복판매.구매자, 교복판매.판매구분, 교복판매.품목, 교복판매.판매단가, 교복판매.판매수량_x000d__x000a_FROM `C:\OA\판매현황.accdb`.교복판매 교복판매"/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교복판매" type="103" refreshedVersion="6" minRefreshableVersion="5">
    <extLst>
      <ext xmlns:x15="http://schemas.microsoft.com/office/spreadsheetml/2010/11/main" uri="{DE250136-89BD-433C-8126-D09CA5730AF9}">
        <x15:connection id="교복판매" autoDelete="1">
          <x15:textPr codePage="949" sourceFile="C:\OA\교복판매.csv" tab="0" comma="1">
            <textFields count="8">
              <textField type="skip"/>
              <textField/>
              <textField type="skip"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<sst xmlns="http://schemas.openxmlformats.org/spreadsheetml/2006/main" count="768" uniqueCount="255">
  <si>
    <t>판매일자</t>
    <phoneticPr fontId="2" type="noConversion"/>
  </si>
  <si>
    <t>판매직원</t>
    <phoneticPr fontId="2" type="noConversion"/>
  </si>
  <si>
    <t>학교</t>
    <phoneticPr fontId="2" type="noConversion"/>
  </si>
  <si>
    <t>구매자</t>
    <phoneticPr fontId="2" type="noConversion"/>
  </si>
  <si>
    <t>판매구분</t>
    <phoneticPr fontId="2" type="noConversion"/>
  </si>
  <si>
    <t>품목</t>
    <phoneticPr fontId="2" type="noConversion"/>
  </si>
  <si>
    <t>판매단가</t>
    <phoneticPr fontId="2" type="noConversion"/>
  </si>
  <si>
    <t>판매수량</t>
    <phoneticPr fontId="2" type="noConversion"/>
  </si>
  <si>
    <t>판매금액</t>
    <phoneticPr fontId="2" type="noConversion"/>
  </si>
  <si>
    <t>황준오</t>
    <phoneticPr fontId="2" type="noConversion"/>
  </si>
  <si>
    <t>저현고</t>
    <phoneticPr fontId="2" type="noConversion"/>
  </si>
  <si>
    <t>최재석</t>
  </si>
  <si>
    <t>이월11</t>
    <phoneticPr fontId="2" type="noConversion"/>
  </si>
  <si>
    <t>남방</t>
    <phoneticPr fontId="2" type="noConversion"/>
  </si>
  <si>
    <t>조성진</t>
    <phoneticPr fontId="2" type="noConversion"/>
  </si>
  <si>
    <t>정발고</t>
    <phoneticPr fontId="2" type="noConversion"/>
  </si>
  <si>
    <t>도경민</t>
  </si>
  <si>
    <t>이월12</t>
    <phoneticPr fontId="2" type="noConversion"/>
  </si>
  <si>
    <t>남방</t>
    <phoneticPr fontId="2" type="noConversion"/>
  </si>
  <si>
    <t>조성진</t>
    <phoneticPr fontId="2" type="noConversion"/>
  </si>
  <si>
    <t>이도현</t>
  </si>
  <si>
    <t>신상13</t>
    <phoneticPr fontId="2" type="noConversion"/>
  </si>
  <si>
    <t>바지</t>
    <phoneticPr fontId="2" type="noConversion"/>
  </si>
  <si>
    <t>김진우</t>
    <phoneticPr fontId="2" type="noConversion"/>
  </si>
  <si>
    <t>백석고</t>
    <phoneticPr fontId="2" type="noConversion"/>
  </si>
  <si>
    <t>백준걸</t>
  </si>
  <si>
    <t>자켓</t>
    <phoneticPr fontId="2" type="noConversion"/>
  </si>
  <si>
    <t>가좌고</t>
    <phoneticPr fontId="2" type="noConversion"/>
  </si>
  <si>
    <t>박정진</t>
  </si>
  <si>
    <t>조끼</t>
    <phoneticPr fontId="2" type="noConversion"/>
  </si>
  <si>
    <t>황준오</t>
    <phoneticPr fontId="2" type="noConversion"/>
  </si>
  <si>
    <t>대화고</t>
    <phoneticPr fontId="2" type="noConversion"/>
  </si>
  <si>
    <t>심지영</t>
  </si>
  <si>
    <t>이월11</t>
    <phoneticPr fontId="2" type="noConversion"/>
  </si>
  <si>
    <t>스커트</t>
    <phoneticPr fontId="2" type="noConversion"/>
  </si>
  <si>
    <t>조성진</t>
    <phoneticPr fontId="2" type="noConversion"/>
  </si>
  <si>
    <t>백석고</t>
    <phoneticPr fontId="2" type="noConversion"/>
  </si>
  <si>
    <t>한미우</t>
  </si>
  <si>
    <t>이월11</t>
    <phoneticPr fontId="2" type="noConversion"/>
  </si>
  <si>
    <t>바지</t>
    <phoneticPr fontId="2" type="noConversion"/>
  </si>
  <si>
    <t>김진우</t>
    <phoneticPr fontId="2" type="noConversion"/>
  </si>
  <si>
    <t>대화고</t>
    <phoneticPr fontId="2" type="noConversion"/>
  </si>
  <si>
    <t>이미라</t>
  </si>
  <si>
    <t>이월11</t>
    <phoneticPr fontId="2" type="noConversion"/>
  </si>
  <si>
    <t>자켓</t>
    <phoneticPr fontId="2" type="noConversion"/>
  </si>
  <si>
    <t>김종진</t>
  </si>
  <si>
    <t>가좌고</t>
    <phoneticPr fontId="2" type="noConversion"/>
  </si>
  <si>
    <t>안은민</t>
  </si>
  <si>
    <t>신상13</t>
    <phoneticPr fontId="2" type="noConversion"/>
  </si>
  <si>
    <t>조끼</t>
    <phoneticPr fontId="2" type="noConversion"/>
  </si>
  <si>
    <t>김용우</t>
    <phoneticPr fontId="2" type="noConversion"/>
  </si>
  <si>
    <t>정발고</t>
    <phoneticPr fontId="2" type="noConversion"/>
  </si>
  <si>
    <t>인정제</t>
  </si>
  <si>
    <t>신상13</t>
    <phoneticPr fontId="2" type="noConversion"/>
  </si>
  <si>
    <t>스커트</t>
    <phoneticPr fontId="2" type="noConversion"/>
  </si>
  <si>
    <t>황준오</t>
    <phoneticPr fontId="2" type="noConversion"/>
  </si>
  <si>
    <t>가좌고</t>
    <phoneticPr fontId="2" type="noConversion"/>
  </si>
  <si>
    <t>유재우</t>
    <phoneticPr fontId="2" type="noConversion"/>
  </si>
  <si>
    <t>이월12</t>
    <phoneticPr fontId="2" type="noConversion"/>
  </si>
  <si>
    <t>김진우</t>
    <phoneticPr fontId="2" type="noConversion"/>
  </si>
  <si>
    <t>하인화</t>
  </si>
  <si>
    <t>황준오</t>
    <phoneticPr fontId="2" type="noConversion"/>
  </si>
  <si>
    <t>대화고</t>
    <phoneticPr fontId="2" type="noConversion"/>
  </si>
  <si>
    <t>이형태</t>
  </si>
  <si>
    <t>이월11</t>
    <phoneticPr fontId="2" type="noConversion"/>
  </si>
  <si>
    <t>황준오</t>
    <phoneticPr fontId="2" type="noConversion"/>
  </si>
  <si>
    <t>윤보라</t>
  </si>
  <si>
    <t>신상13</t>
    <phoneticPr fontId="2" type="noConversion"/>
  </si>
  <si>
    <t>이병열</t>
  </si>
  <si>
    <t>남방</t>
    <phoneticPr fontId="2" type="noConversion"/>
  </si>
  <si>
    <t>저현고</t>
    <phoneticPr fontId="2" type="noConversion"/>
  </si>
  <si>
    <t>고수정</t>
  </si>
  <si>
    <t>이월12</t>
    <phoneticPr fontId="2" type="noConversion"/>
  </si>
  <si>
    <t>대화고</t>
    <phoneticPr fontId="2" type="noConversion"/>
  </si>
  <si>
    <t>김환식</t>
  </si>
  <si>
    <t>바지</t>
    <phoneticPr fontId="2" type="noConversion"/>
  </si>
  <si>
    <t>안성윤</t>
  </si>
  <si>
    <t>조성진</t>
    <phoneticPr fontId="2" type="noConversion"/>
  </si>
  <si>
    <t>윤태성</t>
  </si>
  <si>
    <t>이월11</t>
    <phoneticPr fontId="2" type="noConversion"/>
  </si>
  <si>
    <t>바지</t>
    <phoneticPr fontId="2" type="noConversion"/>
  </si>
  <si>
    <t>백석고</t>
    <phoneticPr fontId="2" type="noConversion"/>
  </si>
  <si>
    <t>김주희</t>
  </si>
  <si>
    <t>황선철</t>
  </si>
  <si>
    <t>김용우</t>
    <phoneticPr fontId="2" type="noConversion"/>
  </si>
  <si>
    <t>백석고</t>
    <phoneticPr fontId="2" type="noConversion"/>
  </si>
  <si>
    <t>김한응</t>
  </si>
  <si>
    <t>이월12</t>
    <phoneticPr fontId="2" type="noConversion"/>
  </si>
  <si>
    <t>자켓</t>
    <phoneticPr fontId="2" type="noConversion"/>
  </si>
  <si>
    <t>유응구</t>
  </si>
  <si>
    <t>바지</t>
    <phoneticPr fontId="2" type="noConversion"/>
  </si>
  <si>
    <t>황준오</t>
    <phoneticPr fontId="2" type="noConversion"/>
  </si>
  <si>
    <t>이충희</t>
  </si>
  <si>
    <t>신상13</t>
    <phoneticPr fontId="2" type="noConversion"/>
  </si>
  <si>
    <t>조끼</t>
    <phoneticPr fontId="2" type="noConversion"/>
  </si>
  <si>
    <t>김용우</t>
    <phoneticPr fontId="2" type="noConversion"/>
  </si>
  <si>
    <t>이원섭</t>
  </si>
  <si>
    <t>신상13</t>
    <phoneticPr fontId="2" type="noConversion"/>
  </si>
  <si>
    <t>김효영</t>
    <phoneticPr fontId="2" type="noConversion"/>
  </si>
  <si>
    <t>조건</t>
    <phoneticPr fontId="2" type="noConversion"/>
  </si>
  <si>
    <t>판매일자</t>
    <phoneticPr fontId="2" type="noConversion"/>
  </si>
  <si>
    <t>판매작원</t>
    <phoneticPr fontId="2" type="noConversion"/>
  </si>
  <si>
    <t>구매자</t>
    <phoneticPr fontId="2" type="noConversion"/>
  </si>
  <si>
    <t>판매구분</t>
    <phoneticPr fontId="2" type="noConversion"/>
  </si>
  <si>
    <t>품목</t>
    <phoneticPr fontId="2" type="noConversion"/>
  </si>
  <si>
    <t>판매단가</t>
    <phoneticPr fontId="2" type="noConversion"/>
  </si>
  <si>
    <t>판매금액</t>
    <phoneticPr fontId="2" type="noConversion"/>
  </si>
  <si>
    <t>김용우</t>
    <phoneticPr fontId="2" type="noConversion"/>
  </si>
  <si>
    <t>이월11</t>
    <phoneticPr fontId="2" type="noConversion"/>
  </si>
  <si>
    <t>바지</t>
    <phoneticPr fontId="2" type="noConversion"/>
  </si>
  <si>
    <t>조성진</t>
    <phoneticPr fontId="2" type="noConversion"/>
  </si>
  <si>
    <t>이월11</t>
    <phoneticPr fontId="2" type="noConversion"/>
  </si>
  <si>
    <t>자켓</t>
    <phoneticPr fontId="2" type="noConversion"/>
  </si>
  <si>
    <t>신상13</t>
    <phoneticPr fontId="2" type="noConversion"/>
  </si>
  <si>
    <t>스커트</t>
    <phoneticPr fontId="2" type="noConversion"/>
  </si>
  <si>
    <t>바지</t>
    <phoneticPr fontId="2" type="noConversion"/>
  </si>
  <si>
    <t>황준오</t>
    <phoneticPr fontId="2" type="noConversion"/>
  </si>
  <si>
    <t>이월11</t>
    <phoneticPr fontId="2" type="noConversion"/>
  </si>
  <si>
    <t>저현고</t>
    <phoneticPr fontId="2" type="noConversion"/>
  </si>
  <si>
    <t>이월11</t>
    <phoneticPr fontId="2" type="noConversion"/>
  </si>
  <si>
    <t>가좌고</t>
    <phoneticPr fontId="2" type="noConversion"/>
  </si>
  <si>
    <t>조끼</t>
    <phoneticPr fontId="2" type="noConversion"/>
  </si>
  <si>
    <t>자켓</t>
    <phoneticPr fontId="2" type="noConversion"/>
  </si>
  <si>
    <t>김진우</t>
    <phoneticPr fontId="2" type="noConversion"/>
  </si>
  <si>
    <t>신상13</t>
    <phoneticPr fontId="2" type="noConversion"/>
  </si>
  <si>
    <t>자켓</t>
    <phoneticPr fontId="2" type="noConversion"/>
  </si>
  <si>
    <t>저현고</t>
    <phoneticPr fontId="2" type="noConversion"/>
  </si>
  <si>
    <t>이월12</t>
    <phoneticPr fontId="2" type="noConversion"/>
  </si>
  <si>
    <t>스커트</t>
    <phoneticPr fontId="2" type="noConversion"/>
  </si>
  <si>
    <t>김용우</t>
    <phoneticPr fontId="2" type="noConversion"/>
  </si>
  <si>
    <t>바지</t>
    <phoneticPr fontId="2" type="noConversion"/>
  </si>
  <si>
    <t>신상13</t>
    <phoneticPr fontId="2" type="noConversion"/>
  </si>
  <si>
    <t>남방</t>
    <phoneticPr fontId="2" type="noConversion"/>
  </si>
  <si>
    <t>자켓</t>
    <phoneticPr fontId="2" type="noConversion"/>
  </si>
  <si>
    <t>황준오</t>
    <phoneticPr fontId="2" type="noConversion"/>
  </si>
  <si>
    <t>가좌고</t>
    <phoneticPr fontId="2" type="noConversion"/>
  </si>
  <si>
    <t>스커트</t>
    <phoneticPr fontId="2" type="noConversion"/>
  </si>
  <si>
    <t>[표1] 판매단가표</t>
    <phoneticPr fontId="2" type="noConversion"/>
  </si>
  <si>
    <t>[표2] 판매건수</t>
    <phoneticPr fontId="2" type="noConversion"/>
  </si>
  <si>
    <t>구분</t>
    <phoneticPr fontId="2" type="noConversion"/>
  </si>
  <si>
    <t>신상</t>
    <phoneticPr fontId="2" type="noConversion"/>
  </si>
  <si>
    <t>이월</t>
    <phoneticPr fontId="2" type="noConversion"/>
  </si>
  <si>
    <t>하위 3번째까지의 판매수량 평균</t>
    <phoneticPr fontId="2" type="noConversion"/>
  </si>
  <si>
    <t>[표3]</t>
    <phoneticPr fontId="2" type="noConversion"/>
  </si>
  <si>
    <t>[표4] 수선일</t>
    <phoneticPr fontId="2" type="noConversion"/>
  </si>
  <si>
    <t>[표5] 공휴일</t>
    <phoneticPr fontId="2" type="noConversion"/>
  </si>
  <si>
    <t>판매직원</t>
    <phoneticPr fontId="2" type="noConversion"/>
  </si>
  <si>
    <t>학교</t>
    <phoneticPr fontId="2" type="noConversion"/>
  </si>
  <si>
    <t>품목</t>
    <phoneticPr fontId="2" type="noConversion"/>
  </si>
  <si>
    <t>판매금액</t>
    <phoneticPr fontId="2" type="noConversion"/>
  </si>
  <si>
    <t>포인트</t>
    <phoneticPr fontId="2" type="noConversion"/>
  </si>
  <si>
    <t>판매일</t>
    <phoneticPr fontId="2" type="noConversion"/>
  </si>
  <si>
    <t>수선일</t>
    <phoneticPr fontId="2" type="noConversion"/>
  </si>
  <si>
    <t>공휴일</t>
    <phoneticPr fontId="2" type="noConversion"/>
  </si>
  <si>
    <t>날짜</t>
    <phoneticPr fontId="2" type="noConversion"/>
  </si>
  <si>
    <t>저현고</t>
    <phoneticPr fontId="2" type="noConversion"/>
  </si>
  <si>
    <t>설날</t>
    <phoneticPr fontId="2" type="noConversion"/>
  </si>
  <si>
    <t>정발고</t>
    <phoneticPr fontId="2" type="noConversion"/>
  </si>
  <si>
    <t>이월12</t>
    <phoneticPr fontId="2" type="noConversion"/>
  </si>
  <si>
    <t>설날</t>
    <phoneticPr fontId="2" type="noConversion"/>
  </si>
  <si>
    <t>조성진</t>
    <phoneticPr fontId="2" type="noConversion"/>
  </si>
  <si>
    <t>신상13</t>
    <phoneticPr fontId="2" type="noConversion"/>
  </si>
  <si>
    <t>삼일절</t>
    <phoneticPr fontId="2" type="noConversion"/>
  </si>
  <si>
    <t>백석고</t>
    <phoneticPr fontId="2" type="noConversion"/>
  </si>
  <si>
    <t>신상13</t>
    <phoneticPr fontId="2" type="noConversion"/>
  </si>
  <si>
    <t>석가탄신일</t>
    <phoneticPr fontId="2" type="noConversion"/>
  </si>
  <si>
    <t>가좌고</t>
    <phoneticPr fontId="2" type="noConversion"/>
  </si>
  <si>
    <t>신상13</t>
    <phoneticPr fontId="2" type="noConversion"/>
  </si>
  <si>
    <t>어린이날</t>
    <phoneticPr fontId="2" type="noConversion"/>
  </si>
  <si>
    <t>황준오</t>
    <phoneticPr fontId="2" type="noConversion"/>
  </si>
  <si>
    <t>대화고</t>
    <phoneticPr fontId="2" type="noConversion"/>
  </si>
  <si>
    <t>현충일</t>
    <phoneticPr fontId="2" type="noConversion"/>
  </si>
  <si>
    <t>백석고</t>
    <phoneticPr fontId="2" type="noConversion"/>
  </si>
  <si>
    <t>광복절</t>
    <phoneticPr fontId="2" type="noConversion"/>
  </si>
  <si>
    <t>추석</t>
    <phoneticPr fontId="2" type="noConversion"/>
  </si>
  <si>
    <t>가좌고</t>
    <phoneticPr fontId="2" type="noConversion"/>
  </si>
  <si>
    <t>개천절</t>
    <phoneticPr fontId="2" type="noConversion"/>
  </si>
  <si>
    <t>스커트</t>
    <phoneticPr fontId="2" type="noConversion"/>
  </si>
  <si>
    <t>크리스마스</t>
    <phoneticPr fontId="2" type="noConversion"/>
  </si>
  <si>
    <t>황준오</t>
    <phoneticPr fontId="2" type="noConversion"/>
  </si>
  <si>
    <t>유재우</t>
    <phoneticPr fontId="2" type="noConversion"/>
  </si>
  <si>
    <t>이월12</t>
    <phoneticPr fontId="2" type="noConversion"/>
  </si>
  <si>
    <t>남방</t>
    <phoneticPr fontId="2" type="noConversion"/>
  </si>
  <si>
    <t>정발고</t>
    <phoneticPr fontId="2" type="noConversion"/>
  </si>
  <si>
    <t>스커트</t>
    <phoneticPr fontId="2" type="noConversion"/>
  </si>
  <si>
    <t>황준오</t>
    <phoneticPr fontId="2" type="noConversion"/>
  </si>
  <si>
    <t>신상13</t>
    <phoneticPr fontId="2" type="noConversion"/>
  </si>
  <si>
    <t>저현고</t>
    <phoneticPr fontId="2" type="noConversion"/>
  </si>
  <si>
    <t>스커트</t>
    <phoneticPr fontId="2" type="noConversion"/>
  </si>
  <si>
    <t>바지</t>
    <phoneticPr fontId="2" type="noConversion"/>
  </si>
  <si>
    <t>조성진</t>
    <phoneticPr fontId="2" type="noConversion"/>
  </si>
  <si>
    <t>대화고</t>
    <phoneticPr fontId="2" type="noConversion"/>
  </si>
  <si>
    <t>자켓</t>
    <phoneticPr fontId="2" type="noConversion"/>
  </si>
  <si>
    <t>바지</t>
    <phoneticPr fontId="2" type="noConversion"/>
  </si>
  <si>
    <t>조끼</t>
    <phoneticPr fontId="2" type="noConversion"/>
  </si>
  <si>
    <t>김용우</t>
    <phoneticPr fontId="2" type="noConversion"/>
  </si>
  <si>
    <t>김용우</t>
    <phoneticPr fontId="2" type="noConversion"/>
  </si>
  <si>
    <t>가좌고</t>
    <phoneticPr fontId="2" type="noConversion"/>
  </si>
  <si>
    <t>김효영</t>
    <phoneticPr fontId="2" type="noConversion"/>
  </si>
  <si>
    <t>판매단가</t>
    <phoneticPr fontId="2" type="noConversion"/>
  </si>
  <si>
    <t>[표1] 모의고사 등급컷</t>
    <phoneticPr fontId="2" type="noConversion"/>
  </si>
  <si>
    <t>점수수준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</si>
  <si>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</si>
  <si>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</si>
  <si>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</si>
  <si>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1등급</t>
    <phoneticPr fontId="2" type="noConversion"/>
  </si>
  <si>
    <t>2등급</t>
    <phoneticPr fontId="2" type="noConversion"/>
  </si>
  <si>
    <t>3등급</t>
    <phoneticPr fontId="2" type="noConversion"/>
  </si>
  <si>
    <t>[표1]</t>
    <phoneticPr fontId="2" type="noConversion"/>
  </si>
  <si>
    <t>판매일자</t>
    <phoneticPr fontId="2" type="noConversion"/>
  </si>
  <si>
    <t>구매자</t>
    <phoneticPr fontId="2" type="noConversion"/>
  </si>
  <si>
    <t>품목</t>
    <phoneticPr fontId="2" type="noConversion"/>
  </si>
  <si>
    <t>판매수량</t>
    <phoneticPr fontId="2" type="noConversion"/>
  </si>
  <si>
    <t>판매직원</t>
  </si>
  <si>
    <t>판매구분</t>
  </si>
  <si>
    <t>김용우</t>
  </si>
  <si>
    <t>공구가</t>
  </si>
  <si>
    <t>스커트</t>
  </si>
  <si>
    <t>김진우</t>
  </si>
  <si>
    <t>조성진</t>
  </si>
  <si>
    <t>황준오</t>
  </si>
  <si>
    <t>총합계</t>
  </si>
  <si>
    <t>정상가</t>
  </si>
  <si>
    <t>김호중</t>
  </si>
  <si>
    <t>30</t>
  </si>
  <si>
    <t>[표1] 저현고</t>
    <phoneticPr fontId="2" type="noConversion"/>
  </si>
  <si>
    <t>[표2] 백석고</t>
    <phoneticPr fontId="2" type="noConversion"/>
  </si>
  <si>
    <t>김세주</t>
    <phoneticPr fontId="2" type="noConversion"/>
  </si>
  <si>
    <t>방선우</t>
    <phoneticPr fontId="2" type="noConversion"/>
  </si>
  <si>
    <t>황석훈</t>
    <phoneticPr fontId="2" type="noConversion"/>
  </si>
  <si>
    <t>유리마</t>
    <phoneticPr fontId="2" type="noConversion"/>
  </si>
  <si>
    <t>유제리</t>
    <phoneticPr fontId="2" type="noConversion"/>
  </si>
  <si>
    <t>김형철</t>
    <phoneticPr fontId="2" type="noConversion"/>
  </si>
  <si>
    <t>고민정</t>
    <phoneticPr fontId="2" type="noConversion"/>
  </si>
  <si>
    <t>백준희</t>
    <phoneticPr fontId="2" type="noConversion"/>
  </si>
  <si>
    <t>도경인</t>
    <phoneticPr fontId="2" type="noConversion"/>
  </si>
  <si>
    <t>김환영</t>
    <phoneticPr fontId="2" type="noConversion"/>
  </si>
  <si>
    <t>노선민</t>
    <phoneticPr fontId="2" type="noConversion"/>
  </si>
  <si>
    <t>[표3] 가좌고</t>
    <phoneticPr fontId="2" type="noConversion"/>
  </si>
  <si>
    <t>[표4] 대화고</t>
    <phoneticPr fontId="2" type="noConversion"/>
  </si>
  <si>
    <t>이기상</t>
    <phoneticPr fontId="2" type="noConversion"/>
  </si>
  <si>
    <t>박영민</t>
    <phoneticPr fontId="2" type="noConversion"/>
  </si>
  <si>
    <t>이정은</t>
    <phoneticPr fontId="2" type="noConversion"/>
  </si>
  <si>
    <t>유은주</t>
    <phoneticPr fontId="2" type="noConversion"/>
  </si>
  <si>
    <t>김태림</t>
    <phoneticPr fontId="2" type="noConversion"/>
  </si>
  <si>
    <t>최연희</t>
    <phoneticPr fontId="2" type="noConversion"/>
  </si>
  <si>
    <t>구현민</t>
    <phoneticPr fontId="2" type="noConversion"/>
  </si>
  <si>
    <t>정태은</t>
    <phoneticPr fontId="2" type="noConversion"/>
  </si>
  <si>
    <t>양선아</t>
    <phoneticPr fontId="2" type="noConversion"/>
  </si>
  <si>
    <t>전강희</t>
    <phoneticPr fontId="2" type="noConversion"/>
  </si>
  <si>
    <t>강문수</t>
    <phoneticPr fontId="2" type="noConversion"/>
  </si>
  <si>
    <t>김경아</t>
    <phoneticPr fontId="2" type="noConversion"/>
  </si>
  <si>
    <t>[표5] 품목별 합계</t>
    <phoneticPr fontId="2" type="noConversion"/>
  </si>
  <si>
    <t>평균: 판매단가</t>
  </si>
  <si>
    <t>평균: 판매수량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</si>
</sst>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0" borderId="1" xfId="1" applyFont="1" applyBorder="1" applyProtection="1">
      <alignment vertical="center"/>
      <protection hidden="1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1" fontId="0" fillId="0" borderId="0" xfId="1" applyFont="1" applyBorder="1">
      <alignment vertical="center"/>
    </xf>
    <xf numFmtId="41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3</a:t>
            </a:r>
            <a:r>
              <a:rPr lang="ko-KR" altLang="en-US"/>
              <a:t>월 모의고사</a:t>
            </a:r>
          </a:p>
        </c:rich>
      </c:tx>
      <c:overlay val="0"/>
    </c:title>
    <c:autoTitleDeleted val="0"/>
    <c:view3D>
      <c:rotX val="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2"/>
          <c:order val="0"/>
          <c:tx>
            <c:strRef>
              <c:f>'기타작업-1'!$B$6</c:f>
              <c:strCache>
                <c:ptCount val="1"/>
                <c:pt idx="0">
                  <c:v>3등급</c:v>
                </c:pt>
              </c:strCache>
            </c:strRef>
          </c:tx>
          <c:invertIfNegative val="0"/>
          <c:cat>
            <c:strRef>
              <c:f>'기타작업-1'!$C$3:$E$3</c:f>
              <c:strCache>
                <c:ptCount val="3"/>
                <c:pt idx="0">
                  <c:v>국어</c:v>
                </c:pt>
                <c:pt idx="1">
                  <c:v>영어</c:v>
                </c:pt>
                <c:pt idx="2">
                  <c:v>수학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77</c:v>
                </c:pt>
                <c:pt idx="1">
                  <c:v>70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A4-49FB-BD17-D1FF13BA416E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2등급</c:v>
                </c:pt>
              </c:strCache>
            </c:strRef>
          </c:tx>
          <c:invertIfNegative val="0"/>
          <c:cat>
            <c:strRef>
              <c:f>'기타작업-1'!$C$3:$E$3</c:f>
              <c:strCache>
                <c:ptCount val="3"/>
                <c:pt idx="0">
                  <c:v>국어</c:v>
                </c:pt>
                <c:pt idx="1">
                  <c:v>영어</c:v>
                </c:pt>
                <c:pt idx="2">
                  <c:v>수학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85</c:v>
                </c:pt>
                <c:pt idx="1">
                  <c:v>80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4-49FB-BD17-D1FF13BA416E}"/>
            </c:ext>
          </c:extLst>
        </c:ser>
        <c:ser>
          <c:idx val="0"/>
          <c:order val="2"/>
          <c:tx>
            <c:strRef>
              <c:f>'기타작업-1'!$B$4</c:f>
              <c:strCache>
                <c:ptCount val="1"/>
                <c:pt idx="0">
                  <c:v>1등급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'기타작업-1'!$C$3:$E$3</c:f>
              <c:strCache>
                <c:ptCount val="3"/>
                <c:pt idx="0">
                  <c:v>국어</c:v>
                </c:pt>
                <c:pt idx="1">
                  <c:v>영어</c:v>
                </c:pt>
                <c:pt idx="2">
                  <c:v>수학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91</c:v>
                </c:pt>
                <c:pt idx="1">
                  <c:v>90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4-49FB-BD17-D1FF13BA4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gapDepth val="25"/>
        <c:shape val="box"/>
        <c:axId val="82536704"/>
        <c:axId val="84111360"/>
        <c:axId val="0"/>
      </c:bar3DChart>
      <c:catAx>
        <c:axId val="82536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4111360"/>
        <c:crosses val="autoZero"/>
        <c:auto val="1"/>
        <c:lblAlgn val="ctr"/>
        <c:lblOffset val="500"/>
        <c:noMultiLvlLbl val="0"/>
      </c:catAx>
      <c:valAx>
        <c:axId val="8411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5367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</xdr:colOff>
      <xdr:row>0</xdr:row>
      <xdr:rowOff>38100</xdr:rowOff>
    </xdr:from>
    <xdr:ext cx="4716780" cy="53585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72540" y="38100"/>
          <a:ext cx="4716780" cy="535852"/>
        </a:xfrm>
        <a:prstGeom prst="rect">
          <a:avLst/>
        </a:prstGeom>
        <a:noFill/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2000">
              <a:solidFill>
                <a:sysClr val="windowText" lastClr="000000"/>
              </a:solidFill>
            </a:rPr>
            <a:t>2020</a:t>
          </a:r>
          <a:r>
            <a:rPr lang="ko-KR" altLang="en-US" sz="2000">
              <a:solidFill>
                <a:sysClr val="windowText" lastClr="000000"/>
              </a:solidFill>
            </a:rPr>
            <a:t>년 교복</a:t>
          </a:r>
          <a:r>
            <a:rPr lang="ko-KR" altLang="en-US" sz="2000" baseline="0">
              <a:solidFill>
                <a:sysClr val="windowText" lastClr="000000"/>
              </a:solidFill>
            </a:rPr>
            <a:t> 판매현황</a:t>
          </a:r>
          <a:endParaRPr lang="ko-KR" altLang="en-US" sz="2000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9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품목별합계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품목별합계삭제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0</xdr:row>
          <xdr:rowOff>19050</xdr:rowOff>
        </xdr:from>
        <xdr:to>
          <xdr:col>6</xdr:col>
          <xdr:colOff>638175</xdr:colOff>
          <xdr:row>2</xdr:row>
          <xdr:rowOff>114300</xdr:rowOff>
        </xdr:to>
        <xdr:sp macro="" textlink="">
          <xdr:nvSpPr>
            <xdr:cNvPr id="3073" name="cmd판매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김남오" refreshedDate="44133.720552662038" backgroundQuery="1" createdVersion="6" refreshedVersion="6" minRefreshableVersion="3" recordCount="0" supportSubquery="1" supportAdvancedDrill="1" xr:uid="{00000000-000A-0000-FFFF-FFFF02000000}">
  <cacheSource type="external" connectionId="2"/>
  <cacheFields count="4">
    <cacheField name="[교복판매].[판매직원].[판매직원]" caption="판매직원" numFmtId="0" level="1">
      <sharedItems count="5">
        <s v="김용우"/>
        <s v="김종진"/>
        <s v="김진우"/>
        <s v="조성진"/>
        <s v="황준오"/>
      </sharedItems>
    </cacheField>
    <cacheField name="[교복판매].[판매구분].[판매구분]" caption="판매구분" numFmtId="0" hierarchy="1" level="1">
      <sharedItems count="2">
        <s v="공구가"/>
        <s v="정상가"/>
      </sharedItems>
    </cacheField>
    <cacheField name="[Measures].[평균: 판매단가]" caption="평균: 판매단가" numFmtId="0" hierarchy="9" level="32767"/>
    <cacheField name="[Measures].[평균: 판매수량]" caption="평균: 판매수량" numFmtId="0" hierarchy="10" level="32767"/>
  </cacheFields>
  <cacheHierarchies count="11">
    <cacheHierarchy uniqueName="[교복판매].[판매직원]" caption="판매직원" attribute="1" defaultMemberUniqueName="[교복판매].[판매직원].[All]" allUniqueName="[교복판매].[판매직원].[All]" dimensionUniqueName="[교복판매]" displayFolder="" count="2" memberValueDatatype="130" unbalanced="0">
      <fieldsUsage count="2">
        <fieldUsage x="-1"/>
        <fieldUsage x="0"/>
      </fieldsUsage>
    </cacheHierarchy>
    <cacheHierarchy uniqueName="[교복판매].[판매구분]" caption="판매구분" attribute="1" defaultMemberUniqueName="[교복판매].[판매구분].[All]" allUniqueName="[교복판매].[판매구분].[All]" dimensionUniqueName="[교복판매]" displayFolder="" count="2" memberValueDatatype="130" unbalanced="0">
      <fieldsUsage count="2">
        <fieldUsage x="-1"/>
        <fieldUsage x="1"/>
      </fieldsUsage>
    </cacheHierarchy>
    <cacheHierarchy uniqueName="[교복판매].[품목]" caption="품목" attribute="1" defaultMemberUniqueName="[교복판매].[품목].[All]" allUniqueName="[교복판매].[품목].[All]" dimensionUniqueName="[교복판매]" displayFolder="" count="0" memberValueDatatype="130" unbalanced="0"/>
    <cacheHierarchy uniqueName="[교복판매].[판매단가]" caption="판매단가" attribute="1" defaultMemberUniqueName="[교복판매].[판매단가].[All]" allUniqueName="[교복판매].[판매단가].[All]" dimensionUniqueName="[교복판매]" displayFolder="" count="0" memberValueDatatype="20" unbalanced="0"/>
    <cacheHierarchy uniqueName="[교복판매].[판매수량]" caption="판매수량" attribute="1" defaultMemberUniqueName="[교복판매].[판매수량].[All]" allUniqueName="[교복판매].[판매수량].[All]" dimensionUniqueName="[교복판매]" displayFolder="" count="0" memberValueDatatype="20" unbalanced="0"/>
    <cacheHierarchy uniqueName="[Measures].[__XL_Count 교복판매]" caption="__XL_Count 교복판매" measure="1" displayFolder="" measureGroup="교복판매" count="0" hidden="1"/>
    <cacheHierarchy uniqueName="[Measures].[__No measures defined]" caption="__No measures defined" measure="1" displayFolder="" count="0" hidden="1"/>
    <cacheHierarchy uniqueName="[Measures].[합계: 판매단가]" caption="합계: 판매단가" measure="1" displayFolder="" measureGroup="교복판매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판매수량]" caption="합계: 판매수량" measure="1" displayFolder="" measureGroup="교복판매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판매단가]" caption="평균: 판매단가" measure="1" displayFolder="" measureGroup="교복판매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판매수량]" caption="평균: 판매수량" measure="1" displayFolder="" measureGroup="교복판매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교복판매" uniqueName="[교복판매]" caption="교복판매"/>
  </dimensions>
  <measureGroups count="1">
    <measureGroup name="교복판매" caption="교복판매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outline="1" outlineData="1" compactData="0" multipleFieldFilters="0">
  <location ref="A2:D18" firstHeaderRow="0" firstDataRow="1" firstDataCol="2"/>
  <pivotFields count="4">
    <pivotField axis="axisRow" compact="0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Row" compact="0" allDrilled="1" showAll="0" dataSourceSort="1" defaultAttributeDrillState="1">
      <items count="3">
        <item x="0"/>
        <item x="1"/>
        <item t="default"/>
      </items>
    </pivotField>
    <pivotField dataField="1" compact="0" showAll="0"/>
    <pivotField dataField="1" compact="0" showAll="0"/>
  </pivotFields>
  <rowFields count="2">
    <field x="0"/>
    <field x="1"/>
  </rowFields>
  <rowItems count="16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평균: 판매단가" fld="2" subtotal="average" baseField="0" baseItem="0" numFmtId="177"/>
    <dataField name="평균: 판매수량" fld="3" subtotal="average" baseField="0" baseItem="0" numFmtId="178"/>
  </dataFields>
  <pivotHierarchies count="11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평균: 판매단가"/>
    <pivotHierarchy dragToData="1" caption="평균: 판매수량"/>
  </pivotHierarchies>
  <pivotTableStyleInfo name="PivotStyleLight5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교복판매">
        <x15:activeTabTopLevelEntity name="[교복판매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J38"/>
  <sheetViews>
    <sheetView workbookViewId="0">
      <selection activeCell="L21" sqref="L21"/>
    </sheetView>
  </sheetViews>
  <sheetFormatPr defaultRowHeight="16.5" x14ac:dyDescent="0.3"/>
  <cols>
    <col min="1" max="1" width="3.125" customWidth="1"/>
    <col min="2" max="2" width="13.5" customWidth="1"/>
    <col min="8" max="8" width="10.5" bestFit="1" customWidth="1"/>
    <col min="9" max="9" width="9.125" bestFit="1" customWidth="1"/>
    <col min="10" max="10" width="12.875" customWidth="1"/>
  </cols>
  <sheetData>
    <row r="2" spans="2:10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</row>
    <row r="3" spans="2:10" x14ac:dyDescent="0.3">
      <c r="B3" s="2">
        <v>43966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4">
        <v>43000</v>
      </c>
      <c r="I3" s="4">
        <v>20</v>
      </c>
      <c r="J3" s="4">
        <v>860000</v>
      </c>
    </row>
    <row r="4" spans="2:10" x14ac:dyDescent="0.3">
      <c r="B4" s="2">
        <v>43794</v>
      </c>
      <c r="C4" s="3" t="s">
        <v>14</v>
      </c>
      <c r="D4" s="3" t="s">
        <v>15</v>
      </c>
      <c r="E4" s="3" t="s">
        <v>16</v>
      </c>
      <c r="F4" s="3" t="s">
        <v>17</v>
      </c>
      <c r="G4" s="3" t="s">
        <v>18</v>
      </c>
      <c r="H4" s="4">
        <v>43000</v>
      </c>
      <c r="I4" s="4">
        <v>5</v>
      </c>
      <c r="J4" s="4">
        <v>215000</v>
      </c>
    </row>
    <row r="5" spans="2:10" x14ac:dyDescent="0.3">
      <c r="B5" s="2">
        <v>43925</v>
      </c>
      <c r="C5" s="3" t="s">
        <v>19</v>
      </c>
      <c r="D5" s="3" t="s">
        <v>10</v>
      </c>
      <c r="E5" s="3" t="s">
        <v>20</v>
      </c>
      <c r="F5" s="3" t="s">
        <v>21</v>
      </c>
      <c r="G5" s="3" t="s">
        <v>22</v>
      </c>
      <c r="H5" s="4">
        <v>65000</v>
      </c>
      <c r="I5" s="4">
        <v>7</v>
      </c>
      <c r="J5" s="4">
        <v>455000</v>
      </c>
    </row>
    <row r="6" spans="2:10" x14ac:dyDescent="0.3">
      <c r="B6" s="2">
        <v>44002</v>
      </c>
      <c r="C6" s="3" t="s">
        <v>23</v>
      </c>
      <c r="D6" s="3" t="s">
        <v>24</v>
      </c>
      <c r="E6" s="3" t="s">
        <v>25</v>
      </c>
      <c r="F6" s="3" t="s">
        <v>21</v>
      </c>
      <c r="G6" s="3" t="s">
        <v>26</v>
      </c>
      <c r="H6" s="4">
        <v>110000</v>
      </c>
      <c r="I6" s="4">
        <v>43</v>
      </c>
      <c r="J6" s="4">
        <v>4730000</v>
      </c>
    </row>
    <row r="7" spans="2:10" x14ac:dyDescent="0.3">
      <c r="B7" s="2">
        <v>43941</v>
      </c>
      <c r="C7" s="3" t="s">
        <v>19</v>
      </c>
      <c r="D7" s="3" t="s">
        <v>27</v>
      </c>
      <c r="E7" s="3" t="s">
        <v>28</v>
      </c>
      <c r="F7" s="3" t="s">
        <v>21</v>
      </c>
      <c r="G7" s="3" t="s">
        <v>29</v>
      </c>
      <c r="H7" s="4">
        <v>45000</v>
      </c>
      <c r="I7" s="4">
        <v>34</v>
      </c>
      <c r="J7" s="4">
        <v>1530000</v>
      </c>
    </row>
    <row r="8" spans="2:10" x14ac:dyDescent="0.3">
      <c r="B8" s="2">
        <v>43910</v>
      </c>
      <c r="C8" s="3" t="s">
        <v>30</v>
      </c>
      <c r="D8" s="3" t="s">
        <v>31</v>
      </c>
      <c r="E8" s="3" t="s">
        <v>32</v>
      </c>
      <c r="F8" s="3" t="s">
        <v>33</v>
      </c>
      <c r="G8" s="3" t="s">
        <v>34</v>
      </c>
      <c r="H8" s="4">
        <v>80000</v>
      </c>
      <c r="I8" s="4">
        <v>6</v>
      </c>
      <c r="J8" s="4">
        <v>400000</v>
      </c>
    </row>
    <row r="9" spans="2:10" x14ac:dyDescent="0.3">
      <c r="B9" s="2">
        <v>43937</v>
      </c>
      <c r="C9" s="3" t="s">
        <v>35</v>
      </c>
      <c r="D9" s="3" t="s">
        <v>36</v>
      </c>
      <c r="E9" s="3" t="s">
        <v>37</v>
      </c>
      <c r="F9" s="3" t="s">
        <v>38</v>
      </c>
      <c r="G9" s="3" t="s">
        <v>39</v>
      </c>
      <c r="H9" s="4">
        <v>65000</v>
      </c>
      <c r="I9" s="4">
        <v>3</v>
      </c>
      <c r="J9" s="4">
        <v>155000</v>
      </c>
    </row>
    <row r="10" spans="2:10" x14ac:dyDescent="0.3">
      <c r="B10" s="2">
        <v>43999</v>
      </c>
      <c r="C10" s="3" t="s">
        <v>40</v>
      </c>
      <c r="D10" s="3" t="s">
        <v>41</v>
      </c>
      <c r="E10" s="3" t="s">
        <v>42</v>
      </c>
      <c r="F10" s="3" t="s">
        <v>43</v>
      </c>
      <c r="G10" s="3" t="s">
        <v>44</v>
      </c>
      <c r="H10" s="4">
        <v>110000</v>
      </c>
      <c r="I10" s="4">
        <v>28</v>
      </c>
      <c r="J10" s="4">
        <v>3080000</v>
      </c>
    </row>
    <row r="11" spans="2:10" x14ac:dyDescent="0.3">
      <c r="B11" s="2">
        <v>44060</v>
      </c>
      <c r="C11" s="3" t="s">
        <v>45</v>
      </c>
      <c r="D11" s="3" t="s">
        <v>46</v>
      </c>
      <c r="E11" s="3" t="s">
        <v>47</v>
      </c>
      <c r="F11" s="3" t="s">
        <v>48</v>
      </c>
      <c r="G11" s="3" t="s">
        <v>49</v>
      </c>
      <c r="H11" s="4">
        <v>45000</v>
      </c>
      <c r="I11" s="4">
        <v>22</v>
      </c>
      <c r="J11" s="4">
        <v>990000</v>
      </c>
    </row>
    <row r="12" spans="2:10" x14ac:dyDescent="0.3">
      <c r="B12" s="2">
        <v>43882</v>
      </c>
      <c r="C12" s="3" t="s">
        <v>50</v>
      </c>
      <c r="D12" s="3" t="s">
        <v>51</v>
      </c>
      <c r="E12" s="3" t="s">
        <v>52</v>
      </c>
      <c r="F12" s="3" t="s">
        <v>53</v>
      </c>
      <c r="G12" s="3" t="s">
        <v>54</v>
      </c>
      <c r="H12" s="4">
        <v>80000</v>
      </c>
      <c r="I12" s="4">
        <v>2</v>
      </c>
      <c r="J12" s="4">
        <v>160000</v>
      </c>
    </row>
    <row r="13" spans="2:10" x14ac:dyDescent="0.3">
      <c r="B13" s="2">
        <v>44126</v>
      </c>
      <c r="C13" s="3" t="s">
        <v>55</v>
      </c>
      <c r="D13" s="3" t="s">
        <v>56</v>
      </c>
      <c r="E13" s="3" t="s">
        <v>57</v>
      </c>
      <c r="F13" s="3" t="s">
        <v>58</v>
      </c>
      <c r="G13" s="3" t="s">
        <v>18</v>
      </c>
      <c r="H13" s="4">
        <v>43000</v>
      </c>
      <c r="I13" s="4">
        <v>2</v>
      </c>
      <c r="J13" s="4">
        <v>86000</v>
      </c>
    </row>
    <row r="14" spans="2:10" x14ac:dyDescent="0.3">
      <c r="B14" s="2">
        <v>43804</v>
      </c>
      <c r="C14" s="3" t="s">
        <v>59</v>
      </c>
      <c r="D14" s="3" t="s">
        <v>51</v>
      </c>
      <c r="E14" s="3" t="s">
        <v>60</v>
      </c>
      <c r="F14" s="3" t="s">
        <v>58</v>
      </c>
      <c r="G14" s="3" t="s">
        <v>54</v>
      </c>
      <c r="H14" s="4">
        <v>80000</v>
      </c>
      <c r="I14" s="4">
        <v>10</v>
      </c>
      <c r="J14" s="4">
        <v>520000</v>
      </c>
    </row>
    <row r="15" spans="2:10" x14ac:dyDescent="0.3">
      <c r="B15" s="2">
        <v>43825</v>
      </c>
      <c r="C15" s="3" t="s">
        <v>61</v>
      </c>
      <c r="D15" s="3" t="s">
        <v>62</v>
      </c>
      <c r="E15" s="3" t="s">
        <v>63</v>
      </c>
      <c r="F15" s="3" t="s">
        <v>64</v>
      </c>
      <c r="G15" s="3" t="s">
        <v>54</v>
      </c>
      <c r="H15" s="4">
        <v>80000</v>
      </c>
      <c r="I15" s="4">
        <v>8</v>
      </c>
      <c r="J15" s="4">
        <v>640000</v>
      </c>
    </row>
    <row r="16" spans="2:10" x14ac:dyDescent="0.3">
      <c r="B16" s="2">
        <v>43907</v>
      </c>
      <c r="C16" s="3" t="s">
        <v>65</v>
      </c>
      <c r="D16" s="3" t="s">
        <v>51</v>
      </c>
      <c r="E16" s="3" t="s">
        <v>66</v>
      </c>
      <c r="F16" s="3" t="s">
        <v>67</v>
      </c>
      <c r="G16" s="3" t="s">
        <v>18</v>
      </c>
      <c r="H16" s="4">
        <v>43000</v>
      </c>
      <c r="I16" s="4">
        <v>11</v>
      </c>
      <c r="J16" s="4">
        <v>473000</v>
      </c>
    </row>
    <row r="17" spans="2:10" x14ac:dyDescent="0.3">
      <c r="B17" s="2">
        <v>44092</v>
      </c>
      <c r="C17" s="3" t="s">
        <v>45</v>
      </c>
      <c r="D17" s="3" t="s">
        <v>36</v>
      </c>
      <c r="E17" s="3" t="s">
        <v>68</v>
      </c>
      <c r="F17" s="3" t="s">
        <v>21</v>
      </c>
      <c r="G17" s="3" t="s">
        <v>69</v>
      </c>
      <c r="H17" s="4">
        <v>43000</v>
      </c>
      <c r="I17" s="4">
        <v>17</v>
      </c>
      <c r="J17" s="4">
        <v>731000</v>
      </c>
    </row>
    <row r="18" spans="2:10" x14ac:dyDescent="0.3">
      <c r="B18" s="2">
        <v>44039</v>
      </c>
      <c r="C18" s="3" t="s">
        <v>55</v>
      </c>
      <c r="D18" s="3" t="s">
        <v>70</v>
      </c>
      <c r="E18" s="3" t="s">
        <v>71</v>
      </c>
      <c r="F18" s="3" t="s">
        <v>72</v>
      </c>
      <c r="G18" s="3" t="s">
        <v>34</v>
      </c>
      <c r="H18" s="4">
        <v>80000</v>
      </c>
      <c r="I18" s="4">
        <v>29</v>
      </c>
      <c r="J18" s="4">
        <v>220000</v>
      </c>
    </row>
    <row r="19" spans="2:10" x14ac:dyDescent="0.3">
      <c r="B19" s="2">
        <v>43853</v>
      </c>
      <c r="C19" s="3" t="s">
        <v>45</v>
      </c>
      <c r="D19" s="3" t="s">
        <v>73</v>
      </c>
      <c r="E19" s="3" t="s">
        <v>74</v>
      </c>
      <c r="F19" s="3" t="s">
        <v>33</v>
      </c>
      <c r="G19" s="3" t="s">
        <v>75</v>
      </c>
      <c r="H19" s="4">
        <v>65000</v>
      </c>
      <c r="I19" s="4">
        <v>8</v>
      </c>
      <c r="J19" s="4">
        <v>520000</v>
      </c>
    </row>
    <row r="20" spans="2:10" x14ac:dyDescent="0.3">
      <c r="B20" s="2">
        <v>43786</v>
      </c>
      <c r="C20" s="3" t="s">
        <v>65</v>
      </c>
      <c r="D20" s="3" t="s">
        <v>56</v>
      </c>
      <c r="E20" s="3" t="s">
        <v>76</v>
      </c>
      <c r="F20" s="3" t="s">
        <v>21</v>
      </c>
      <c r="G20" s="3" t="s">
        <v>44</v>
      </c>
      <c r="H20" s="4">
        <v>110000</v>
      </c>
      <c r="I20" s="4">
        <v>2</v>
      </c>
      <c r="J20" s="4">
        <v>220000</v>
      </c>
    </row>
    <row r="21" spans="2:10" x14ac:dyDescent="0.3">
      <c r="B21" s="2">
        <v>43891</v>
      </c>
      <c r="C21" s="3" t="s">
        <v>77</v>
      </c>
      <c r="D21" s="3" t="s">
        <v>62</v>
      </c>
      <c r="E21" s="3" t="s">
        <v>78</v>
      </c>
      <c r="F21" s="3" t="s">
        <v>79</v>
      </c>
      <c r="G21" s="3" t="s">
        <v>80</v>
      </c>
      <c r="H21" s="4">
        <v>65000</v>
      </c>
      <c r="I21" s="4">
        <v>10</v>
      </c>
      <c r="J21" s="4">
        <v>510000</v>
      </c>
    </row>
    <row r="22" spans="2:10" x14ac:dyDescent="0.3">
      <c r="B22" s="2">
        <v>43802</v>
      </c>
      <c r="C22" s="3" t="s">
        <v>50</v>
      </c>
      <c r="D22" s="3" t="s">
        <v>81</v>
      </c>
      <c r="E22" s="3" t="s">
        <v>82</v>
      </c>
      <c r="F22" s="3" t="s">
        <v>21</v>
      </c>
      <c r="G22" s="3" t="s">
        <v>54</v>
      </c>
      <c r="H22" s="4">
        <v>80000</v>
      </c>
      <c r="I22" s="4">
        <v>4</v>
      </c>
      <c r="J22" s="4">
        <v>300000</v>
      </c>
    </row>
    <row r="23" spans="2:10" x14ac:dyDescent="0.3">
      <c r="B23" s="2">
        <v>43860</v>
      </c>
      <c r="C23" s="3" t="s">
        <v>77</v>
      </c>
      <c r="D23" s="3" t="s">
        <v>62</v>
      </c>
      <c r="E23" s="3" t="s">
        <v>83</v>
      </c>
      <c r="F23" s="3" t="s">
        <v>33</v>
      </c>
      <c r="G23" s="3" t="s">
        <v>44</v>
      </c>
      <c r="H23" s="4">
        <v>110000</v>
      </c>
      <c r="I23" s="4">
        <v>4</v>
      </c>
      <c r="J23" s="4">
        <v>440000</v>
      </c>
    </row>
    <row r="24" spans="2:10" x14ac:dyDescent="0.3">
      <c r="B24" s="2">
        <v>43987</v>
      </c>
      <c r="C24" s="3" t="s">
        <v>84</v>
      </c>
      <c r="D24" s="3" t="s">
        <v>85</v>
      </c>
      <c r="E24" s="3" t="s">
        <v>86</v>
      </c>
      <c r="F24" s="3" t="s">
        <v>87</v>
      </c>
      <c r="G24" s="3" t="s">
        <v>88</v>
      </c>
      <c r="H24" s="4">
        <v>110000</v>
      </c>
      <c r="I24" s="4">
        <v>10</v>
      </c>
      <c r="J24" s="4">
        <v>1100000</v>
      </c>
    </row>
    <row r="25" spans="2:10" x14ac:dyDescent="0.3">
      <c r="B25" s="2">
        <v>44040</v>
      </c>
      <c r="C25" s="3" t="s">
        <v>50</v>
      </c>
      <c r="D25" s="3" t="s">
        <v>24</v>
      </c>
      <c r="E25" s="3" t="s">
        <v>89</v>
      </c>
      <c r="F25" s="3" t="s">
        <v>67</v>
      </c>
      <c r="G25" s="3" t="s">
        <v>90</v>
      </c>
      <c r="H25" s="4">
        <v>65000</v>
      </c>
      <c r="I25" s="4">
        <v>19</v>
      </c>
      <c r="J25" s="4">
        <v>1235000</v>
      </c>
    </row>
    <row r="26" spans="2:10" x14ac:dyDescent="0.3">
      <c r="B26" s="2">
        <v>44094</v>
      </c>
      <c r="C26" s="3" t="s">
        <v>91</v>
      </c>
      <c r="D26" s="3" t="s">
        <v>81</v>
      </c>
      <c r="E26" s="3" t="s">
        <v>92</v>
      </c>
      <c r="F26" s="3" t="s">
        <v>93</v>
      </c>
      <c r="G26" s="3" t="s">
        <v>94</v>
      </c>
      <c r="H26" s="4">
        <v>45000</v>
      </c>
      <c r="I26" s="4">
        <v>24</v>
      </c>
      <c r="J26" s="4">
        <v>1080000</v>
      </c>
    </row>
    <row r="27" spans="2:10" x14ac:dyDescent="0.3">
      <c r="B27" s="2">
        <v>43842</v>
      </c>
      <c r="C27" s="3" t="s">
        <v>95</v>
      </c>
      <c r="D27" s="3" t="s">
        <v>51</v>
      </c>
      <c r="E27" s="3" t="s">
        <v>96</v>
      </c>
      <c r="F27" s="3" t="s">
        <v>97</v>
      </c>
      <c r="G27" s="3" t="s">
        <v>94</v>
      </c>
      <c r="H27" s="4">
        <v>45000</v>
      </c>
      <c r="I27" s="4">
        <v>20</v>
      </c>
      <c r="J27" s="4">
        <v>900000</v>
      </c>
    </row>
    <row r="28" spans="2:10" x14ac:dyDescent="0.3">
      <c r="B28" s="2">
        <v>44122</v>
      </c>
      <c r="C28" s="3" t="s">
        <v>50</v>
      </c>
      <c r="D28" s="3" t="s">
        <v>27</v>
      </c>
      <c r="E28" s="3" t="s">
        <v>98</v>
      </c>
      <c r="F28" s="3" t="s">
        <v>33</v>
      </c>
      <c r="G28" s="3" t="s">
        <v>44</v>
      </c>
      <c r="H28" s="4">
        <v>110000</v>
      </c>
      <c r="I28" s="4">
        <v>14</v>
      </c>
      <c r="J28" s="4">
        <v>1540000</v>
      </c>
    </row>
    <row r="29" spans="2:10" x14ac:dyDescent="0.3">
      <c r="B29" s="5"/>
      <c r="C29" s="5"/>
      <c r="D29" s="5"/>
      <c r="E29" s="5"/>
      <c r="F29" s="5"/>
      <c r="G29" s="5"/>
    </row>
    <row r="30" spans="2:10" x14ac:dyDescent="0.3">
      <c r="B30" t="s">
        <v>99</v>
      </c>
    </row>
    <row r="31" spans="2:10" x14ac:dyDescent="0.3">
      <c r="B31" t="b">
        <f>AND(LEFT(F3,2)="이월",OR(G3="스커트",G3="바지"),J3&lt;&gt;H3*I3)</f>
        <v>0</v>
      </c>
    </row>
    <row r="33" spans="2:10" x14ac:dyDescent="0.3">
      <c r="B33" s="1" t="s">
        <v>0</v>
      </c>
      <c r="C33" s="1" t="s">
        <v>1</v>
      </c>
      <c r="D33" s="1" t="s">
        <v>2</v>
      </c>
      <c r="E33" s="1" t="s">
        <v>3</v>
      </c>
      <c r="F33" s="1" t="s">
        <v>4</v>
      </c>
      <c r="G33" s="1" t="s">
        <v>5</v>
      </c>
      <c r="H33" s="1" t="s">
        <v>6</v>
      </c>
      <c r="I33" s="1" t="s">
        <v>7</v>
      </c>
      <c r="J33" s="1" t="s">
        <v>8</v>
      </c>
    </row>
    <row r="34" spans="2:10" x14ac:dyDescent="0.3">
      <c r="B34" s="2">
        <v>43910</v>
      </c>
      <c r="C34" s="3" t="s">
        <v>30</v>
      </c>
      <c r="D34" s="3" t="s">
        <v>31</v>
      </c>
      <c r="E34" s="3" t="s">
        <v>32</v>
      </c>
      <c r="F34" s="3" t="s">
        <v>33</v>
      </c>
      <c r="G34" s="3" t="s">
        <v>34</v>
      </c>
      <c r="H34" s="4">
        <v>80000</v>
      </c>
      <c r="I34" s="4">
        <v>6</v>
      </c>
      <c r="J34" s="4">
        <v>400000</v>
      </c>
    </row>
    <row r="35" spans="2:10" x14ac:dyDescent="0.3">
      <c r="B35" s="2">
        <v>43937</v>
      </c>
      <c r="C35" s="3" t="s">
        <v>35</v>
      </c>
      <c r="D35" s="3" t="s">
        <v>36</v>
      </c>
      <c r="E35" s="3" t="s">
        <v>37</v>
      </c>
      <c r="F35" s="3" t="s">
        <v>38</v>
      </c>
      <c r="G35" s="3" t="s">
        <v>39</v>
      </c>
      <c r="H35" s="4">
        <v>65000</v>
      </c>
      <c r="I35" s="4">
        <v>3</v>
      </c>
      <c r="J35" s="4">
        <v>155000</v>
      </c>
    </row>
    <row r="36" spans="2:10" x14ac:dyDescent="0.3">
      <c r="B36" s="2">
        <v>43804</v>
      </c>
      <c r="C36" s="3" t="s">
        <v>59</v>
      </c>
      <c r="D36" s="3" t="s">
        <v>51</v>
      </c>
      <c r="E36" s="3" t="s">
        <v>60</v>
      </c>
      <c r="F36" s="3" t="s">
        <v>58</v>
      </c>
      <c r="G36" s="3" t="s">
        <v>54</v>
      </c>
      <c r="H36" s="4">
        <v>80000</v>
      </c>
      <c r="I36" s="4">
        <v>10</v>
      </c>
      <c r="J36" s="4">
        <v>520000</v>
      </c>
    </row>
    <row r="37" spans="2:10" x14ac:dyDescent="0.3">
      <c r="B37" s="2">
        <v>44039</v>
      </c>
      <c r="C37" s="3" t="s">
        <v>55</v>
      </c>
      <c r="D37" s="3" t="s">
        <v>70</v>
      </c>
      <c r="E37" s="3" t="s">
        <v>71</v>
      </c>
      <c r="F37" s="3" t="s">
        <v>72</v>
      </c>
      <c r="G37" s="3" t="s">
        <v>34</v>
      </c>
      <c r="H37" s="4">
        <v>80000</v>
      </c>
      <c r="I37" s="4">
        <v>29</v>
      </c>
      <c r="J37" s="4">
        <v>220000</v>
      </c>
    </row>
    <row r="38" spans="2:10" x14ac:dyDescent="0.3">
      <c r="B38" s="2">
        <v>43891</v>
      </c>
      <c r="C38" s="3" t="s">
        <v>77</v>
      </c>
      <c r="D38" s="3" t="s">
        <v>62</v>
      </c>
      <c r="E38" s="3" t="s">
        <v>78</v>
      </c>
      <c r="F38" s="3" t="s">
        <v>79</v>
      </c>
      <c r="G38" s="3" t="s">
        <v>80</v>
      </c>
      <c r="H38" s="4">
        <v>65000</v>
      </c>
      <c r="I38" s="4">
        <v>10</v>
      </c>
      <c r="J38" s="4">
        <v>510000</v>
      </c>
    </row>
  </sheetData>
  <phoneticPr fontId="2" type="noConversion"/>
  <conditionalFormatting sqref="B3:J28">
    <cfRule type="expression" dxfId="0" priority="1">
      <formula>ISODD(ROW($B3))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4:J31"/>
  <sheetViews>
    <sheetView topLeftCell="B1" workbookViewId="0">
      <selection activeCell="B1" sqref="B1"/>
    </sheetView>
  </sheetViews>
  <sheetFormatPr defaultRowHeight="16.5" x14ac:dyDescent="0.3"/>
  <cols>
    <col min="1" max="1" width="3.125" customWidth="1"/>
    <col min="2" max="2" width="13.5" customWidth="1"/>
    <col min="8" max="9" width="9.125" bestFit="1" customWidth="1"/>
    <col min="10" max="10" width="12.875" customWidth="1"/>
  </cols>
  <sheetData>
    <row r="4" spans="2:10" x14ac:dyDescent="0.3">
      <c r="B4" s="1" t="s">
        <v>100</v>
      </c>
      <c r="C4" s="1" t="s">
        <v>101</v>
      </c>
      <c r="D4" s="1" t="s">
        <v>2</v>
      </c>
      <c r="E4" s="1" t="s">
        <v>102</v>
      </c>
      <c r="F4" s="1" t="s">
        <v>103</v>
      </c>
      <c r="G4" s="1" t="s">
        <v>104</v>
      </c>
      <c r="H4" s="1" t="s">
        <v>105</v>
      </c>
      <c r="I4" s="1" t="s">
        <v>7</v>
      </c>
      <c r="J4" s="1" t="s">
        <v>106</v>
      </c>
    </row>
    <row r="5" spans="2:10" x14ac:dyDescent="0.3">
      <c r="B5" s="2">
        <v>43842</v>
      </c>
      <c r="C5" s="3" t="s">
        <v>107</v>
      </c>
      <c r="D5" s="3" t="s">
        <v>51</v>
      </c>
      <c r="E5" s="3" t="s">
        <v>96</v>
      </c>
      <c r="F5" s="3" t="s">
        <v>21</v>
      </c>
      <c r="G5" s="3" t="s">
        <v>94</v>
      </c>
      <c r="H5" s="4">
        <v>45000</v>
      </c>
      <c r="I5" s="4">
        <v>20</v>
      </c>
      <c r="J5" s="9">
        <f t="shared" ref="J5:J30" si="0">H5*I5</f>
        <v>900000</v>
      </c>
    </row>
    <row r="6" spans="2:10" x14ac:dyDescent="0.3">
      <c r="B6" s="2">
        <v>43853</v>
      </c>
      <c r="C6" s="3" t="s">
        <v>45</v>
      </c>
      <c r="D6" s="3" t="s">
        <v>41</v>
      </c>
      <c r="E6" s="3" t="s">
        <v>74</v>
      </c>
      <c r="F6" s="3" t="s">
        <v>108</v>
      </c>
      <c r="G6" s="3" t="s">
        <v>109</v>
      </c>
      <c r="H6" s="4">
        <v>65000</v>
      </c>
      <c r="I6" s="4">
        <v>8</v>
      </c>
      <c r="J6" s="9">
        <f t="shared" si="0"/>
        <v>520000</v>
      </c>
    </row>
    <row r="7" spans="2:10" x14ac:dyDescent="0.3">
      <c r="B7" s="2">
        <v>43860</v>
      </c>
      <c r="C7" s="3" t="s">
        <v>110</v>
      </c>
      <c r="D7" s="3" t="s">
        <v>41</v>
      </c>
      <c r="E7" s="3" t="s">
        <v>83</v>
      </c>
      <c r="F7" s="3" t="s">
        <v>111</v>
      </c>
      <c r="G7" s="3" t="s">
        <v>112</v>
      </c>
      <c r="H7" s="4">
        <v>110000</v>
      </c>
      <c r="I7" s="4">
        <v>4</v>
      </c>
      <c r="J7" s="9">
        <f t="shared" si="0"/>
        <v>440000</v>
      </c>
    </row>
    <row r="8" spans="2:10" x14ac:dyDescent="0.3">
      <c r="B8" s="2">
        <v>43882</v>
      </c>
      <c r="C8" s="3" t="s">
        <v>84</v>
      </c>
      <c r="D8" s="3" t="s">
        <v>15</v>
      </c>
      <c r="E8" s="3" t="s">
        <v>52</v>
      </c>
      <c r="F8" s="3" t="s">
        <v>113</v>
      </c>
      <c r="G8" s="3" t="s">
        <v>114</v>
      </c>
      <c r="H8" s="4">
        <v>80000</v>
      </c>
      <c r="I8" s="4">
        <v>2</v>
      </c>
      <c r="J8" s="9">
        <f t="shared" si="0"/>
        <v>160000</v>
      </c>
    </row>
    <row r="9" spans="2:10" x14ac:dyDescent="0.3">
      <c r="B9" s="2">
        <v>43891</v>
      </c>
      <c r="C9" s="3" t="s">
        <v>14</v>
      </c>
      <c r="D9" s="3" t="s">
        <v>41</v>
      </c>
      <c r="E9" s="3" t="s">
        <v>78</v>
      </c>
      <c r="F9" s="3" t="s">
        <v>12</v>
      </c>
      <c r="G9" s="3" t="s">
        <v>115</v>
      </c>
      <c r="H9" s="4">
        <v>65000</v>
      </c>
      <c r="I9" s="4">
        <v>10</v>
      </c>
      <c r="J9" s="9">
        <f t="shared" si="0"/>
        <v>650000</v>
      </c>
    </row>
    <row r="10" spans="2:10" x14ac:dyDescent="0.3">
      <c r="B10" s="2">
        <v>43907</v>
      </c>
      <c r="C10" s="3" t="s">
        <v>116</v>
      </c>
      <c r="D10" s="3" t="s">
        <v>15</v>
      </c>
      <c r="E10" s="3" t="s">
        <v>66</v>
      </c>
      <c r="F10" s="3" t="s">
        <v>97</v>
      </c>
      <c r="G10" s="3" t="s">
        <v>18</v>
      </c>
      <c r="H10" s="4">
        <v>43000</v>
      </c>
      <c r="I10" s="4">
        <v>11</v>
      </c>
      <c r="J10" s="9">
        <f t="shared" si="0"/>
        <v>473000</v>
      </c>
    </row>
    <row r="11" spans="2:10" x14ac:dyDescent="0.3">
      <c r="B11" s="2">
        <v>43910</v>
      </c>
      <c r="C11" s="3" t="s">
        <v>55</v>
      </c>
      <c r="D11" s="3" t="s">
        <v>41</v>
      </c>
      <c r="E11" s="3" t="s">
        <v>32</v>
      </c>
      <c r="F11" s="3" t="s">
        <v>117</v>
      </c>
      <c r="G11" s="3" t="s">
        <v>54</v>
      </c>
      <c r="H11" s="4">
        <v>80000</v>
      </c>
      <c r="I11" s="4">
        <v>6</v>
      </c>
      <c r="J11" s="9">
        <f t="shared" si="0"/>
        <v>480000</v>
      </c>
    </row>
    <row r="12" spans="2:10" x14ac:dyDescent="0.3">
      <c r="B12" s="2">
        <v>43925</v>
      </c>
      <c r="C12" s="3" t="s">
        <v>110</v>
      </c>
      <c r="D12" s="3" t="s">
        <v>118</v>
      </c>
      <c r="E12" s="3" t="s">
        <v>20</v>
      </c>
      <c r="F12" s="3" t="s">
        <v>97</v>
      </c>
      <c r="G12" s="3" t="s">
        <v>22</v>
      </c>
      <c r="H12" s="4">
        <v>65000</v>
      </c>
      <c r="I12" s="4">
        <v>7</v>
      </c>
      <c r="J12" s="9">
        <f t="shared" si="0"/>
        <v>455000</v>
      </c>
    </row>
    <row r="13" spans="2:10" x14ac:dyDescent="0.3">
      <c r="B13" s="2">
        <v>43937</v>
      </c>
      <c r="C13" s="3" t="s">
        <v>35</v>
      </c>
      <c r="D13" s="3" t="s">
        <v>81</v>
      </c>
      <c r="E13" s="3" t="s">
        <v>37</v>
      </c>
      <c r="F13" s="3" t="s">
        <v>119</v>
      </c>
      <c r="G13" s="3" t="s">
        <v>22</v>
      </c>
      <c r="H13" s="4">
        <v>65000</v>
      </c>
      <c r="I13" s="4">
        <v>3</v>
      </c>
      <c r="J13" s="9">
        <f t="shared" si="0"/>
        <v>195000</v>
      </c>
    </row>
    <row r="14" spans="2:10" x14ac:dyDescent="0.3">
      <c r="B14" s="2">
        <v>43941</v>
      </c>
      <c r="C14" s="3" t="s">
        <v>35</v>
      </c>
      <c r="D14" s="3" t="s">
        <v>120</v>
      </c>
      <c r="E14" s="3" t="s">
        <v>28</v>
      </c>
      <c r="F14" s="3" t="s">
        <v>21</v>
      </c>
      <c r="G14" s="3" t="s">
        <v>121</v>
      </c>
      <c r="H14" s="4">
        <v>45000</v>
      </c>
      <c r="I14" s="4">
        <v>34</v>
      </c>
      <c r="J14" s="9">
        <f t="shared" si="0"/>
        <v>1530000</v>
      </c>
    </row>
    <row r="15" spans="2:10" x14ac:dyDescent="0.3">
      <c r="B15" s="2">
        <v>43966</v>
      </c>
      <c r="C15" s="3" t="s">
        <v>55</v>
      </c>
      <c r="D15" s="3" t="s">
        <v>10</v>
      </c>
      <c r="E15" s="3" t="s">
        <v>11</v>
      </c>
      <c r="F15" s="3" t="s">
        <v>33</v>
      </c>
      <c r="G15" s="3" t="s">
        <v>13</v>
      </c>
      <c r="H15" s="4">
        <v>43000</v>
      </c>
      <c r="I15" s="4">
        <v>20</v>
      </c>
      <c r="J15" s="9">
        <f t="shared" si="0"/>
        <v>860000</v>
      </c>
    </row>
    <row r="16" spans="2:10" x14ac:dyDescent="0.3">
      <c r="B16" s="2">
        <v>43987</v>
      </c>
      <c r="C16" s="3" t="s">
        <v>50</v>
      </c>
      <c r="D16" s="3" t="s">
        <v>81</v>
      </c>
      <c r="E16" s="3" t="s">
        <v>86</v>
      </c>
      <c r="F16" s="3" t="s">
        <v>17</v>
      </c>
      <c r="G16" s="3" t="s">
        <v>122</v>
      </c>
      <c r="H16" s="4">
        <v>110000</v>
      </c>
      <c r="I16" s="4">
        <v>10</v>
      </c>
      <c r="J16" s="9">
        <f t="shared" si="0"/>
        <v>1100000</v>
      </c>
    </row>
    <row r="17" spans="2:10" x14ac:dyDescent="0.3">
      <c r="B17" s="2">
        <v>43999</v>
      </c>
      <c r="C17" s="3" t="s">
        <v>123</v>
      </c>
      <c r="D17" s="3" t="s">
        <v>41</v>
      </c>
      <c r="E17" s="3" t="s">
        <v>42</v>
      </c>
      <c r="F17" s="3" t="s">
        <v>108</v>
      </c>
      <c r="G17" s="3" t="s">
        <v>122</v>
      </c>
      <c r="H17" s="4">
        <v>110000</v>
      </c>
      <c r="I17" s="4">
        <v>28</v>
      </c>
      <c r="J17" s="9">
        <f t="shared" si="0"/>
        <v>3080000</v>
      </c>
    </row>
    <row r="18" spans="2:10" x14ac:dyDescent="0.3">
      <c r="B18" s="2">
        <v>44002</v>
      </c>
      <c r="C18" s="3" t="s">
        <v>40</v>
      </c>
      <c r="D18" s="3" t="s">
        <v>81</v>
      </c>
      <c r="E18" s="3" t="s">
        <v>25</v>
      </c>
      <c r="F18" s="3" t="s">
        <v>124</v>
      </c>
      <c r="G18" s="3" t="s">
        <v>125</v>
      </c>
      <c r="H18" s="4">
        <v>110000</v>
      </c>
      <c r="I18" s="4">
        <v>43</v>
      </c>
      <c r="J18" s="9">
        <f t="shared" si="0"/>
        <v>4730000</v>
      </c>
    </row>
    <row r="19" spans="2:10" x14ac:dyDescent="0.3">
      <c r="B19" s="2">
        <v>44039</v>
      </c>
      <c r="C19" s="3" t="s">
        <v>55</v>
      </c>
      <c r="D19" s="3" t="s">
        <v>126</v>
      </c>
      <c r="E19" s="3" t="s">
        <v>71</v>
      </c>
      <c r="F19" s="3" t="s">
        <v>127</v>
      </c>
      <c r="G19" s="3" t="s">
        <v>128</v>
      </c>
      <c r="H19" s="4">
        <v>80000</v>
      </c>
      <c r="I19" s="4">
        <v>29</v>
      </c>
      <c r="J19" s="9">
        <f t="shared" si="0"/>
        <v>2320000</v>
      </c>
    </row>
    <row r="20" spans="2:10" x14ac:dyDescent="0.3">
      <c r="B20" s="2">
        <v>44040</v>
      </c>
      <c r="C20" s="3" t="s">
        <v>129</v>
      </c>
      <c r="D20" s="3" t="s">
        <v>24</v>
      </c>
      <c r="E20" s="3" t="s">
        <v>89</v>
      </c>
      <c r="F20" s="3" t="s">
        <v>97</v>
      </c>
      <c r="G20" s="3" t="s">
        <v>130</v>
      </c>
      <c r="H20" s="4">
        <v>65000</v>
      </c>
      <c r="I20" s="4">
        <v>19</v>
      </c>
      <c r="J20" s="9">
        <f t="shared" si="0"/>
        <v>1235000</v>
      </c>
    </row>
    <row r="21" spans="2:10" x14ac:dyDescent="0.3">
      <c r="B21" s="2">
        <v>44060</v>
      </c>
      <c r="C21" s="3" t="s">
        <v>45</v>
      </c>
      <c r="D21" s="3" t="s">
        <v>56</v>
      </c>
      <c r="E21" s="3" t="s">
        <v>47</v>
      </c>
      <c r="F21" s="3" t="s">
        <v>21</v>
      </c>
      <c r="G21" s="3" t="s">
        <v>94</v>
      </c>
      <c r="H21" s="4">
        <v>45000</v>
      </c>
      <c r="I21" s="4">
        <v>22</v>
      </c>
      <c r="J21" s="9">
        <f t="shared" si="0"/>
        <v>990000</v>
      </c>
    </row>
    <row r="22" spans="2:10" x14ac:dyDescent="0.3">
      <c r="B22" s="2">
        <v>44092</v>
      </c>
      <c r="C22" s="3" t="s">
        <v>45</v>
      </c>
      <c r="D22" s="3" t="s">
        <v>24</v>
      </c>
      <c r="E22" s="3" t="s">
        <v>68</v>
      </c>
      <c r="F22" s="3" t="s">
        <v>131</v>
      </c>
      <c r="G22" s="3" t="s">
        <v>132</v>
      </c>
      <c r="H22" s="4">
        <v>43000</v>
      </c>
      <c r="I22" s="4">
        <v>17</v>
      </c>
      <c r="J22" s="9">
        <f t="shared" si="0"/>
        <v>731000</v>
      </c>
    </row>
    <row r="23" spans="2:10" x14ac:dyDescent="0.3">
      <c r="B23" s="2">
        <v>44094</v>
      </c>
      <c r="C23" s="3" t="s">
        <v>65</v>
      </c>
      <c r="D23" s="3" t="s">
        <v>81</v>
      </c>
      <c r="E23" s="3" t="s">
        <v>92</v>
      </c>
      <c r="F23" s="3" t="s">
        <v>113</v>
      </c>
      <c r="G23" s="3" t="s">
        <v>49</v>
      </c>
      <c r="H23" s="4">
        <v>45000</v>
      </c>
      <c r="I23" s="4">
        <v>24</v>
      </c>
      <c r="J23" s="9">
        <f t="shared" si="0"/>
        <v>1080000</v>
      </c>
    </row>
    <row r="24" spans="2:10" x14ac:dyDescent="0.3">
      <c r="B24" s="2">
        <v>44122</v>
      </c>
      <c r="C24" s="3" t="s">
        <v>107</v>
      </c>
      <c r="D24" s="3" t="s">
        <v>56</v>
      </c>
      <c r="E24" s="3" t="s">
        <v>98</v>
      </c>
      <c r="F24" s="3" t="s">
        <v>12</v>
      </c>
      <c r="G24" s="3" t="s">
        <v>133</v>
      </c>
      <c r="H24" s="4">
        <v>110000</v>
      </c>
      <c r="I24" s="4">
        <v>14</v>
      </c>
      <c r="J24" s="9">
        <f t="shared" si="0"/>
        <v>1540000</v>
      </c>
    </row>
    <row r="25" spans="2:10" x14ac:dyDescent="0.3">
      <c r="B25" s="2">
        <v>44126</v>
      </c>
      <c r="C25" s="3" t="s">
        <v>9</v>
      </c>
      <c r="D25" s="3" t="s">
        <v>27</v>
      </c>
      <c r="E25" s="3" t="s">
        <v>57</v>
      </c>
      <c r="F25" s="3" t="s">
        <v>17</v>
      </c>
      <c r="G25" s="3" t="s">
        <v>13</v>
      </c>
      <c r="H25" s="4">
        <v>43000</v>
      </c>
      <c r="I25" s="4">
        <v>2</v>
      </c>
      <c r="J25" s="9">
        <f t="shared" si="0"/>
        <v>86000</v>
      </c>
    </row>
    <row r="26" spans="2:10" x14ac:dyDescent="0.3">
      <c r="B26" s="2">
        <v>44152</v>
      </c>
      <c r="C26" s="3" t="s">
        <v>134</v>
      </c>
      <c r="D26" s="3" t="s">
        <v>135</v>
      </c>
      <c r="E26" s="3" t="s">
        <v>76</v>
      </c>
      <c r="F26" s="3" t="s">
        <v>21</v>
      </c>
      <c r="G26" s="3" t="s">
        <v>44</v>
      </c>
      <c r="H26" s="4">
        <v>110000</v>
      </c>
      <c r="I26" s="4">
        <v>2</v>
      </c>
      <c r="J26" s="9">
        <f t="shared" si="0"/>
        <v>220000</v>
      </c>
    </row>
    <row r="27" spans="2:10" x14ac:dyDescent="0.3">
      <c r="B27" s="2">
        <v>44160</v>
      </c>
      <c r="C27" s="3" t="s">
        <v>14</v>
      </c>
      <c r="D27" s="3" t="s">
        <v>15</v>
      </c>
      <c r="E27" s="3" t="s">
        <v>16</v>
      </c>
      <c r="F27" s="3" t="s">
        <v>17</v>
      </c>
      <c r="G27" s="3" t="s">
        <v>13</v>
      </c>
      <c r="H27" s="4">
        <v>43000</v>
      </c>
      <c r="I27" s="4">
        <v>5</v>
      </c>
      <c r="J27" s="9">
        <f t="shared" si="0"/>
        <v>215000</v>
      </c>
    </row>
    <row r="28" spans="2:10" x14ac:dyDescent="0.3">
      <c r="B28" s="2">
        <v>44168</v>
      </c>
      <c r="C28" s="3" t="s">
        <v>107</v>
      </c>
      <c r="D28" s="3" t="s">
        <v>81</v>
      </c>
      <c r="E28" s="3" t="s">
        <v>82</v>
      </c>
      <c r="F28" s="3" t="s">
        <v>21</v>
      </c>
      <c r="G28" s="3" t="s">
        <v>128</v>
      </c>
      <c r="H28" s="4">
        <v>80000</v>
      </c>
      <c r="I28" s="4">
        <v>4</v>
      </c>
      <c r="J28" s="9">
        <f t="shared" si="0"/>
        <v>320000</v>
      </c>
    </row>
    <row r="29" spans="2:10" x14ac:dyDescent="0.3">
      <c r="B29" s="2">
        <v>44170</v>
      </c>
      <c r="C29" s="3" t="s">
        <v>40</v>
      </c>
      <c r="D29" s="3" t="s">
        <v>51</v>
      </c>
      <c r="E29" s="3" t="s">
        <v>60</v>
      </c>
      <c r="F29" s="3" t="s">
        <v>17</v>
      </c>
      <c r="G29" s="3" t="s">
        <v>128</v>
      </c>
      <c r="H29" s="4">
        <v>80000</v>
      </c>
      <c r="I29" s="4">
        <v>10</v>
      </c>
      <c r="J29" s="9">
        <f t="shared" si="0"/>
        <v>800000</v>
      </c>
    </row>
    <row r="30" spans="2:10" x14ac:dyDescent="0.3">
      <c r="B30" s="2">
        <v>44191</v>
      </c>
      <c r="C30" s="3" t="s">
        <v>9</v>
      </c>
      <c r="D30" s="3" t="s">
        <v>41</v>
      </c>
      <c r="E30" s="3" t="s">
        <v>63</v>
      </c>
      <c r="F30" s="3" t="s">
        <v>117</v>
      </c>
      <c r="G30" s="3" t="s">
        <v>136</v>
      </c>
      <c r="H30" s="4">
        <v>80000</v>
      </c>
      <c r="I30" s="4">
        <v>8</v>
      </c>
      <c r="J30" s="9">
        <f t="shared" si="0"/>
        <v>640000</v>
      </c>
    </row>
    <row r="31" spans="2:10" x14ac:dyDescent="0.3">
      <c r="B31" s="5"/>
      <c r="C31" s="5"/>
      <c r="D31" s="5"/>
      <c r="E31" s="5"/>
      <c r="F31" s="5"/>
      <c r="G31" s="5"/>
    </row>
  </sheetData>
  <sheetProtection sheet="1" objects="1" scenarios="1" sort="0"/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P37"/>
  <sheetViews>
    <sheetView workbookViewId="0">
      <selection activeCell="B1" sqref="B1"/>
    </sheetView>
  </sheetViews>
  <sheetFormatPr defaultRowHeight="16.5" x14ac:dyDescent="0.3"/>
  <cols>
    <col min="1" max="1" width="2.875" customWidth="1"/>
    <col min="2" max="2" width="11" customWidth="1"/>
    <col min="3" max="3" width="9" bestFit="1" customWidth="1"/>
    <col min="4" max="4" width="10" bestFit="1" customWidth="1"/>
    <col min="5" max="6" width="9.25" bestFit="1" customWidth="1"/>
    <col min="7" max="7" width="9" bestFit="1" customWidth="1"/>
    <col min="8" max="8" width="9.25" bestFit="1" customWidth="1"/>
    <col min="9" max="9" width="12.5" customWidth="1"/>
    <col min="10" max="10" width="15.125" bestFit="1" customWidth="1"/>
    <col min="11" max="11" width="7.375" bestFit="1" customWidth="1"/>
    <col min="12" max="12" width="12.375" bestFit="1" customWidth="1"/>
    <col min="13" max="13" width="23.125" bestFit="1" customWidth="1"/>
    <col min="14" max="14" width="6.625" customWidth="1"/>
    <col min="15" max="15" width="10.875" customWidth="1"/>
    <col min="16" max="16" width="10.375" bestFit="1" customWidth="1"/>
  </cols>
  <sheetData>
    <row r="3" spans="2:16" x14ac:dyDescent="0.3">
      <c r="B3" t="s">
        <v>137</v>
      </c>
      <c r="I3" t="s">
        <v>138</v>
      </c>
    </row>
    <row r="4" spans="2:16" x14ac:dyDescent="0.3">
      <c r="B4" s="3" t="s">
        <v>139</v>
      </c>
      <c r="C4" s="3" t="s">
        <v>109</v>
      </c>
      <c r="D4" s="3" t="s">
        <v>128</v>
      </c>
      <c r="E4" s="3" t="s">
        <v>44</v>
      </c>
      <c r="F4" s="3" t="s">
        <v>94</v>
      </c>
      <c r="G4" s="3" t="s">
        <v>13</v>
      </c>
      <c r="I4" s="3" t="s">
        <v>139</v>
      </c>
      <c r="J4" s="1" t="s">
        <v>109</v>
      </c>
      <c r="K4" s="1" t="s">
        <v>128</v>
      </c>
      <c r="L4" s="1" t="s">
        <v>112</v>
      </c>
      <c r="M4" s="1" t="s">
        <v>49</v>
      </c>
      <c r="N4" s="1" t="s">
        <v>13</v>
      </c>
    </row>
    <row r="5" spans="2:16" x14ac:dyDescent="0.3">
      <c r="B5" s="3" t="s">
        <v>97</v>
      </c>
      <c r="C5" s="4">
        <v>65000</v>
      </c>
      <c r="D5" s="4">
        <v>80000</v>
      </c>
      <c r="E5" s="4">
        <v>110000</v>
      </c>
      <c r="F5" s="4">
        <v>45000</v>
      </c>
      <c r="G5" s="4">
        <v>43000</v>
      </c>
      <c r="I5" s="3" t="s">
        <v>140</v>
      </c>
      <c r="J5" s="4">
        <f t="array" ref="J5">SUM((LEFT($F$12:$F$37,2)=$I5)*($G$12:$G$37=J$4))</f>
        <v>2</v>
      </c>
      <c r="K5" s="4">
        <f t="array" ref="K5">SUM((LEFT($F$12:$F$37,2)=$I5)*($G$12:$G$37=K$4))</f>
        <v>2</v>
      </c>
      <c r="L5" s="4">
        <f t="array" ref="L5">SUM((LEFT($F$12:$F$37,2)=$I5)*($G$12:$G$37=L$4))</f>
        <v>2</v>
      </c>
      <c r="M5" s="4">
        <f t="array" ref="M5">SUM((LEFT($F$12:$F$37,2)=$I5)*($G$12:$G$37=M$4))</f>
        <v>4</v>
      </c>
      <c r="N5" s="4">
        <f t="array" ref="N5">SUM((LEFT($F$12:$F$37,2)=$I5)*($G$12:$G$37=N$4))</f>
        <v>2</v>
      </c>
    </row>
    <row r="6" spans="2:16" x14ac:dyDescent="0.3">
      <c r="B6" s="3" t="s">
        <v>17</v>
      </c>
      <c r="C6" s="4">
        <f>C5*90%</f>
        <v>58500</v>
      </c>
      <c r="D6" s="4">
        <f t="shared" ref="D6:G6" si="0">D5*90%</f>
        <v>72000</v>
      </c>
      <c r="E6" s="4">
        <f t="shared" si="0"/>
        <v>99000</v>
      </c>
      <c r="F6" s="4">
        <f t="shared" si="0"/>
        <v>40500</v>
      </c>
      <c r="G6" s="4">
        <f t="shared" si="0"/>
        <v>38700</v>
      </c>
      <c r="I6" s="3" t="s">
        <v>141</v>
      </c>
      <c r="J6" s="4">
        <f t="array" ref="J6">SUM((LEFT($F$12:$F$37,2)=$I6)*($G$12:$G$37=J$4))</f>
        <v>3</v>
      </c>
      <c r="K6" s="4">
        <f t="array" ref="K6">SUM((LEFT($F$12:$F$37,2)=$I6)*($G$12:$G$37=K$4))</f>
        <v>4</v>
      </c>
      <c r="L6" s="4">
        <f t="array" ref="L6">SUM((LEFT($F$12:$F$37,2)=$I6)*($G$12:$G$37=L$4))</f>
        <v>4</v>
      </c>
      <c r="M6" s="4">
        <f t="array" ref="M6">SUM((LEFT($F$12:$F$37,2)=$I6)*($G$12:$G$37=M$4))</f>
        <v>0</v>
      </c>
      <c r="N6" s="4">
        <f t="array" ref="N6">SUM((LEFT($F$12:$F$37,2)=$I6)*($G$12:$G$37=N$4))</f>
        <v>3</v>
      </c>
    </row>
    <row r="7" spans="2:16" x14ac:dyDescent="0.3">
      <c r="B7" s="3" t="s">
        <v>33</v>
      </c>
      <c r="C7" s="4">
        <f>C5*80%</f>
        <v>52000</v>
      </c>
      <c r="D7" s="4">
        <f t="shared" ref="D7:G7" si="1">D5*80%</f>
        <v>64000</v>
      </c>
      <c r="E7" s="4">
        <f t="shared" si="1"/>
        <v>88000</v>
      </c>
      <c r="F7" s="4">
        <f t="shared" si="1"/>
        <v>36000</v>
      </c>
      <c r="G7" s="4">
        <f t="shared" si="1"/>
        <v>34400</v>
      </c>
    </row>
    <row r="8" spans="2:16" x14ac:dyDescent="0.3">
      <c r="I8" s="16" t="s">
        <v>142</v>
      </c>
      <c r="J8" s="16"/>
      <c r="K8" s="16"/>
      <c r="L8" s="16"/>
      <c r="M8" s="6">
        <f t="array" ref="M8">AVERAGE(IF($H$12:$H$37&lt;=SMALL($H$12:$H$37,3),$H$12:$H$37))</f>
        <v>2</v>
      </c>
    </row>
    <row r="10" spans="2:16" x14ac:dyDescent="0.3">
      <c r="B10" t="s">
        <v>143</v>
      </c>
      <c r="L10" t="s">
        <v>144</v>
      </c>
      <c r="O10" t="s">
        <v>145</v>
      </c>
    </row>
    <row r="11" spans="2:16" x14ac:dyDescent="0.3">
      <c r="B11" s="3" t="s">
        <v>0</v>
      </c>
      <c r="C11" s="3" t="s">
        <v>146</v>
      </c>
      <c r="D11" s="3" t="s">
        <v>147</v>
      </c>
      <c r="E11" s="3" t="s">
        <v>102</v>
      </c>
      <c r="F11" s="3" t="s">
        <v>103</v>
      </c>
      <c r="G11" s="3" t="s">
        <v>148</v>
      </c>
      <c r="H11" s="3" t="s">
        <v>7</v>
      </c>
      <c r="I11" s="1" t="s">
        <v>149</v>
      </c>
      <c r="J11" s="1" t="s">
        <v>150</v>
      </c>
      <c r="L11" s="3" t="s">
        <v>151</v>
      </c>
      <c r="M11" s="1" t="s">
        <v>152</v>
      </c>
      <c r="O11" s="3" t="s">
        <v>153</v>
      </c>
      <c r="P11" s="3" t="s">
        <v>154</v>
      </c>
    </row>
    <row r="12" spans="2:16" x14ac:dyDescent="0.3">
      <c r="B12" s="2">
        <v>43966</v>
      </c>
      <c r="C12" s="3" t="s">
        <v>55</v>
      </c>
      <c r="D12" s="3" t="s">
        <v>155</v>
      </c>
      <c r="E12" s="3" t="s">
        <v>11</v>
      </c>
      <c r="F12" s="3" t="s">
        <v>12</v>
      </c>
      <c r="G12" s="3" t="s">
        <v>18</v>
      </c>
      <c r="H12" s="4">
        <v>20</v>
      </c>
      <c r="I12" s="4">
        <f>H12*VLOOKUP(F12,$B$5:$G$7,MATCH(G12,$C$4:$G$4,0)+1,0)*(1-IF(H12&gt;=30,10%,0))</f>
        <v>688000</v>
      </c>
      <c r="J12" s="7" t="str" cm="1">
        <f t="array" ref="J12">fn포인트(I12)</f>
        <v>10,000점</v>
      </c>
      <c r="L12" s="2">
        <v>43816</v>
      </c>
      <c r="M12" s="2" t="str">
        <f>TEXT(WORKDAY(L12,3,$P$12:$P$21),"yyyy년 m월 d일 aaaa")</f>
        <v>2019년 12월 20일 금요일</v>
      </c>
      <c r="O12" s="8" t="s">
        <v>156</v>
      </c>
      <c r="P12" s="8">
        <v>43855</v>
      </c>
    </row>
    <row r="13" spans="2:16" x14ac:dyDescent="0.3">
      <c r="B13" s="2">
        <v>43794</v>
      </c>
      <c r="C13" s="3" t="s">
        <v>35</v>
      </c>
      <c r="D13" s="3" t="s">
        <v>157</v>
      </c>
      <c r="E13" s="3" t="s">
        <v>16</v>
      </c>
      <c r="F13" s="3" t="s">
        <v>158</v>
      </c>
      <c r="G13" s="3" t="s">
        <v>18</v>
      </c>
      <c r="H13" s="4">
        <v>5</v>
      </c>
      <c r="I13" s="4">
        <f t="shared" ref="I13:I37" si="2">H13*VLOOKUP(F13,$B$5:$G$7,MATCH(G13,$C$4:$G$4,0)+1,0)*(1-IF(H13&gt;=30,10%,0))</f>
        <v>193500</v>
      </c>
      <c r="J13" s="7" t="str" cm="1">
        <f t="array" ref="J13">fn포인트(I13)</f>
        <v/>
      </c>
      <c r="L13" s="2">
        <v>43824</v>
      </c>
      <c r="M13" s="2" t="str">
        <f t="shared" ref="M13:M28" si="3">TEXT(WORKDAY(L13,3,$P$12:$P$21),"yyyy년 m월 d일 aaaa")</f>
        <v>2019년 12월 30일 월요일</v>
      </c>
      <c r="O13" s="6" t="s">
        <v>159</v>
      </c>
      <c r="P13" s="8">
        <v>43856</v>
      </c>
    </row>
    <row r="14" spans="2:16" x14ac:dyDescent="0.3">
      <c r="B14" s="2">
        <v>43925</v>
      </c>
      <c r="C14" s="3" t="s">
        <v>160</v>
      </c>
      <c r="D14" s="3" t="s">
        <v>70</v>
      </c>
      <c r="E14" s="3" t="s">
        <v>20</v>
      </c>
      <c r="F14" s="3" t="s">
        <v>161</v>
      </c>
      <c r="G14" s="3" t="s">
        <v>109</v>
      </c>
      <c r="H14" s="4">
        <v>7</v>
      </c>
      <c r="I14" s="4">
        <f t="shared" si="2"/>
        <v>455000</v>
      </c>
      <c r="J14" s="7" t="str" cm="1">
        <f t="array" ref="J14">fn포인트(I14)</f>
        <v>5,000점</v>
      </c>
      <c r="L14" s="2">
        <v>43833</v>
      </c>
      <c r="M14" s="2" t="str">
        <f t="shared" si="3"/>
        <v>2020년 1월 8일 수요일</v>
      </c>
      <c r="O14" s="6" t="s">
        <v>162</v>
      </c>
      <c r="P14" s="8">
        <v>43891</v>
      </c>
    </row>
    <row r="15" spans="2:16" x14ac:dyDescent="0.3">
      <c r="B15" s="2">
        <v>44002</v>
      </c>
      <c r="C15" s="3" t="s">
        <v>40</v>
      </c>
      <c r="D15" s="3" t="s">
        <v>163</v>
      </c>
      <c r="E15" s="3" t="s">
        <v>25</v>
      </c>
      <c r="F15" s="3" t="s">
        <v>164</v>
      </c>
      <c r="G15" s="3" t="s">
        <v>44</v>
      </c>
      <c r="H15" s="4">
        <v>43</v>
      </c>
      <c r="I15" s="4">
        <f t="shared" si="2"/>
        <v>4257000</v>
      </c>
      <c r="J15" s="7" t="str" cm="1">
        <f t="array" ref="J15">fn포인트(I15)</f>
        <v>10,000점</v>
      </c>
      <c r="L15" s="2">
        <v>43873</v>
      </c>
      <c r="M15" s="2" t="str">
        <f t="shared" si="3"/>
        <v>2020년 2월 17일 월요일</v>
      </c>
      <c r="O15" s="6" t="s">
        <v>165</v>
      </c>
      <c r="P15" s="8">
        <v>43951</v>
      </c>
    </row>
    <row r="16" spans="2:16" x14ac:dyDescent="0.3">
      <c r="B16" s="2">
        <v>43941</v>
      </c>
      <c r="C16" s="3" t="s">
        <v>35</v>
      </c>
      <c r="D16" s="3" t="s">
        <v>166</v>
      </c>
      <c r="E16" s="3" t="s">
        <v>28</v>
      </c>
      <c r="F16" s="3" t="s">
        <v>167</v>
      </c>
      <c r="G16" s="3" t="s">
        <v>49</v>
      </c>
      <c r="H16" s="4">
        <v>34</v>
      </c>
      <c r="I16" s="4">
        <f t="shared" si="2"/>
        <v>1377000</v>
      </c>
      <c r="J16" s="7" t="str" cm="1">
        <f t="array" ref="J16">fn포인트(I16)</f>
        <v>10,000점</v>
      </c>
      <c r="L16" s="2">
        <v>43884</v>
      </c>
      <c r="M16" s="2" t="str">
        <f t="shared" si="3"/>
        <v>2020년 2월 26일 수요일</v>
      </c>
      <c r="O16" s="6" t="s">
        <v>168</v>
      </c>
      <c r="P16" s="8">
        <v>43956</v>
      </c>
    </row>
    <row r="17" spans="2:16" x14ac:dyDescent="0.3">
      <c r="B17" s="2">
        <v>43910</v>
      </c>
      <c r="C17" s="3" t="s">
        <v>169</v>
      </c>
      <c r="D17" s="3" t="s">
        <v>170</v>
      </c>
      <c r="E17" s="3" t="s">
        <v>32</v>
      </c>
      <c r="F17" s="3" t="s">
        <v>33</v>
      </c>
      <c r="G17" s="3" t="s">
        <v>54</v>
      </c>
      <c r="H17" s="4">
        <v>6</v>
      </c>
      <c r="I17" s="4">
        <f t="shared" si="2"/>
        <v>384000</v>
      </c>
      <c r="J17" s="7" t="str" cm="1">
        <f t="array" ref="J17">fn포인트(I17)</f>
        <v>5,000점</v>
      </c>
      <c r="L17" s="2">
        <v>43890</v>
      </c>
      <c r="M17" s="2" t="str">
        <f t="shared" si="3"/>
        <v>2020년 3월 4일 수요일</v>
      </c>
      <c r="O17" s="6" t="s">
        <v>171</v>
      </c>
      <c r="P17" s="8">
        <v>43988</v>
      </c>
    </row>
    <row r="18" spans="2:16" x14ac:dyDescent="0.3">
      <c r="B18" s="2">
        <v>43937</v>
      </c>
      <c r="C18" s="3" t="s">
        <v>14</v>
      </c>
      <c r="D18" s="3" t="s">
        <v>172</v>
      </c>
      <c r="E18" s="3" t="s">
        <v>37</v>
      </c>
      <c r="F18" s="3" t="s">
        <v>33</v>
      </c>
      <c r="G18" s="3" t="s">
        <v>22</v>
      </c>
      <c r="H18" s="4">
        <v>3</v>
      </c>
      <c r="I18" s="4">
        <f t="shared" si="2"/>
        <v>156000</v>
      </c>
      <c r="J18" s="7" t="str" cm="1">
        <f t="array" ref="J18">fn포인트(I18)</f>
        <v/>
      </c>
      <c r="L18" s="2">
        <v>43911</v>
      </c>
      <c r="M18" s="2" t="str">
        <f t="shared" si="3"/>
        <v>2020년 3월 25일 수요일</v>
      </c>
      <c r="O18" s="6" t="s">
        <v>173</v>
      </c>
      <c r="P18" s="8">
        <v>44058</v>
      </c>
    </row>
    <row r="19" spans="2:16" x14ac:dyDescent="0.3">
      <c r="B19" s="2">
        <v>43999</v>
      </c>
      <c r="C19" s="3" t="s">
        <v>40</v>
      </c>
      <c r="D19" s="3" t="s">
        <v>41</v>
      </c>
      <c r="E19" s="3" t="s">
        <v>42</v>
      </c>
      <c r="F19" s="3" t="s">
        <v>33</v>
      </c>
      <c r="G19" s="3" t="s">
        <v>44</v>
      </c>
      <c r="H19" s="4">
        <v>28</v>
      </c>
      <c r="I19" s="4">
        <f t="shared" si="2"/>
        <v>2464000</v>
      </c>
      <c r="J19" s="7" t="str" cm="1">
        <f t="array" ref="J19">fn포인트(I19)</f>
        <v>10,000점</v>
      </c>
      <c r="L19" s="2">
        <v>43922</v>
      </c>
      <c r="M19" s="2" t="str">
        <f t="shared" si="3"/>
        <v>2020년 4월 6일 월요일</v>
      </c>
      <c r="O19" s="6" t="s">
        <v>174</v>
      </c>
      <c r="P19" s="8">
        <v>44105</v>
      </c>
    </row>
    <row r="20" spans="2:16" x14ac:dyDescent="0.3">
      <c r="B20" s="2">
        <v>44060</v>
      </c>
      <c r="C20" s="3" t="s">
        <v>45</v>
      </c>
      <c r="D20" s="3" t="s">
        <v>175</v>
      </c>
      <c r="E20" s="3" t="s">
        <v>47</v>
      </c>
      <c r="F20" s="3" t="s">
        <v>167</v>
      </c>
      <c r="G20" s="3" t="s">
        <v>49</v>
      </c>
      <c r="H20" s="4">
        <v>22</v>
      </c>
      <c r="I20" s="4">
        <f t="shared" si="2"/>
        <v>990000</v>
      </c>
      <c r="J20" s="7" t="str" cm="1">
        <f t="array" ref="J20">fn포인트(I20)</f>
        <v>10,000점</v>
      </c>
      <c r="L20" s="2">
        <v>43938</v>
      </c>
      <c r="M20" s="2" t="str">
        <f t="shared" si="3"/>
        <v>2020년 4월 22일 수요일</v>
      </c>
      <c r="O20" s="6" t="s">
        <v>176</v>
      </c>
      <c r="P20" s="8">
        <v>44107</v>
      </c>
    </row>
    <row r="21" spans="2:16" x14ac:dyDescent="0.3">
      <c r="B21" s="2">
        <v>43882</v>
      </c>
      <c r="C21" s="3" t="s">
        <v>50</v>
      </c>
      <c r="D21" s="3" t="s">
        <v>51</v>
      </c>
      <c r="E21" s="3" t="s">
        <v>52</v>
      </c>
      <c r="F21" s="3" t="s">
        <v>164</v>
      </c>
      <c r="G21" s="3" t="s">
        <v>177</v>
      </c>
      <c r="H21" s="4">
        <v>2</v>
      </c>
      <c r="I21" s="4">
        <f t="shared" si="2"/>
        <v>160000</v>
      </c>
      <c r="J21" s="7" t="str" cm="1">
        <f t="array" ref="J21">fn포인트(I21)</f>
        <v/>
      </c>
      <c r="L21" s="2">
        <v>43941</v>
      </c>
      <c r="M21" s="2" t="str">
        <f t="shared" si="3"/>
        <v>2020년 4월 23일 목요일</v>
      </c>
      <c r="O21" s="6" t="s">
        <v>178</v>
      </c>
      <c r="P21" s="8">
        <v>44190</v>
      </c>
    </row>
    <row r="22" spans="2:16" x14ac:dyDescent="0.3">
      <c r="B22" s="2">
        <v>44126</v>
      </c>
      <c r="C22" s="3" t="s">
        <v>179</v>
      </c>
      <c r="D22" s="3" t="s">
        <v>27</v>
      </c>
      <c r="E22" s="3" t="s">
        <v>180</v>
      </c>
      <c r="F22" s="3" t="s">
        <v>181</v>
      </c>
      <c r="G22" s="3" t="s">
        <v>182</v>
      </c>
      <c r="H22" s="4">
        <v>2</v>
      </c>
      <c r="I22" s="4">
        <f t="shared" si="2"/>
        <v>77400</v>
      </c>
      <c r="J22" s="7" t="str" cm="1">
        <f t="array" ref="J22">fn포인트(I22)</f>
        <v/>
      </c>
      <c r="L22" s="2">
        <v>43955</v>
      </c>
      <c r="M22" s="2" t="str">
        <f t="shared" si="3"/>
        <v>2020년 5월 8일 금요일</v>
      </c>
    </row>
    <row r="23" spans="2:16" x14ac:dyDescent="0.3">
      <c r="B23" s="2">
        <v>43804</v>
      </c>
      <c r="C23" s="3" t="s">
        <v>40</v>
      </c>
      <c r="D23" s="3" t="s">
        <v>183</v>
      </c>
      <c r="E23" s="3" t="s">
        <v>60</v>
      </c>
      <c r="F23" s="3" t="s">
        <v>58</v>
      </c>
      <c r="G23" s="3" t="s">
        <v>184</v>
      </c>
      <c r="H23" s="4">
        <v>10</v>
      </c>
      <c r="I23" s="4">
        <f t="shared" si="2"/>
        <v>720000</v>
      </c>
      <c r="J23" s="7" t="str" cm="1">
        <f t="array" ref="J23">fn포인트(I23)</f>
        <v>10,000점</v>
      </c>
      <c r="L23" s="2">
        <v>44032</v>
      </c>
      <c r="M23" s="2" t="str">
        <f t="shared" si="3"/>
        <v>2020년 7월 23일 목요일</v>
      </c>
    </row>
    <row r="24" spans="2:16" x14ac:dyDescent="0.3">
      <c r="B24" s="2">
        <v>43825</v>
      </c>
      <c r="C24" s="3" t="s">
        <v>55</v>
      </c>
      <c r="D24" s="3" t="s">
        <v>62</v>
      </c>
      <c r="E24" s="3" t="s">
        <v>63</v>
      </c>
      <c r="F24" s="3" t="s">
        <v>33</v>
      </c>
      <c r="G24" s="3" t="s">
        <v>184</v>
      </c>
      <c r="H24" s="4">
        <v>8</v>
      </c>
      <c r="I24" s="4">
        <f t="shared" si="2"/>
        <v>512000</v>
      </c>
      <c r="J24" s="7" t="str" cm="1">
        <f t="array" ref="J24">fn포인트(I24)</f>
        <v>10,000점</v>
      </c>
      <c r="L24" s="2">
        <v>44070</v>
      </c>
      <c r="M24" s="2" t="str">
        <f t="shared" si="3"/>
        <v>2020년 9월 1일 화요일</v>
      </c>
    </row>
    <row r="25" spans="2:16" x14ac:dyDescent="0.3">
      <c r="B25" s="2">
        <v>43907</v>
      </c>
      <c r="C25" s="3" t="s">
        <v>185</v>
      </c>
      <c r="D25" s="3" t="s">
        <v>51</v>
      </c>
      <c r="E25" s="3" t="s">
        <v>66</v>
      </c>
      <c r="F25" s="3" t="s">
        <v>21</v>
      </c>
      <c r="G25" s="3" t="s">
        <v>182</v>
      </c>
      <c r="H25" s="4">
        <v>11</v>
      </c>
      <c r="I25" s="4">
        <f t="shared" si="2"/>
        <v>473000</v>
      </c>
      <c r="J25" s="7" t="str" cm="1">
        <f t="array" ref="J25">fn포인트(I25)</f>
        <v>5,000점</v>
      </c>
      <c r="L25" s="2">
        <v>44071</v>
      </c>
      <c r="M25" s="2" t="str">
        <f t="shared" si="3"/>
        <v>2020년 9월 2일 수요일</v>
      </c>
    </row>
    <row r="26" spans="2:16" x14ac:dyDescent="0.3">
      <c r="B26" s="2">
        <v>44092</v>
      </c>
      <c r="C26" s="3" t="s">
        <v>45</v>
      </c>
      <c r="D26" s="3" t="s">
        <v>24</v>
      </c>
      <c r="E26" s="3" t="s">
        <v>68</v>
      </c>
      <c r="F26" s="3" t="s">
        <v>186</v>
      </c>
      <c r="G26" s="3" t="s">
        <v>18</v>
      </c>
      <c r="H26" s="4">
        <v>17</v>
      </c>
      <c r="I26" s="4">
        <f t="shared" si="2"/>
        <v>731000</v>
      </c>
      <c r="J26" s="7" t="str" cm="1">
        <f t="array" ref="J26">fn포인트(I26)</f>
        <v>10,000점</v>
      </c>
      <c r="L26" s="2">
        <v>44091</v>
      </c>
      <c r="M26" s="2" t="str">
        <f t="shared" si="3"/>
        <v>2020년 9월 22일 화요일</v>
      </c>
    </row>
    <row r="27" spans="2:16" x14ac:dyDescent="0.3">
      <c r="B27" s="2">
        <v>44039</v>
      </c>
      <c r="C27" s="3" t="s">
        <v>55</v>
      </c>
      <c r="D27" s="3" t="s">
        <v>187</v>
      </c>
      <c r="E27" s="3" t="s">
        <v>71</v>
      </c>
      <c r="F27" s="3" t="s">
        <v>58</v>
      </c>
      <c r="G27" s="3" t="s">
        <v>188</v>
      </c>
      <c r="H27" s="4">
        <v>29</v>
      </c>
      <c r="I27" s="4">
        <f t="shared" si="2"/>
        <v>2088000</v>
      </c>
      <c r="J27" s="7" t="str" cm="1">
        <f t="array" ref="J27">fn포인트(I27)</f>
        <v>10,000점</v>
      </c>
      <c r="L27" s="2">
        <v>44153</v>
      </c>
      <c r="M27" s="2" t="str">
        <f t="shared" si="3"/>
        <v>2020년 11월 23일 월요일</v>
      </c>
    </row>
    <row r="28" spans="2:16" x14ac:dyDescent="0.3">
      <c r="B28" s="2">
        <v>43853</v>
      </c>
      <c r="C28" s="3" t="s">
        <v>45</v>
      </c>
      <c r="D28" s="3" t="s">
        <v>41</v>
      </c>
      <c r="E28" s="3" t="s">
        <v>74</v>
      </c>
      <c r="F28" s="3" t="s">
        <v>33</v>
      </c>
      <c r="G28" s="3" t="s">
        <v>189</v>
      </c>
      <c r="H28" s="4">
        <v>8</v>
      </c>
      <c r="I28" s="4">
        <f t="shared" si="2"/>
        <v>416000</v>
      </c>
      <c r="J28" s="7" t="str" cm="1">
        <f t="array" ref="J28">fn포인트(I28)</f>
        <v>5,000점</v>
      </c>
      <c r="L28" s="2">
        <v>44157</v>
      </c>
      <c r="M28" s="2" t="str">
        <f t="shared" si="3"/>
        <v>2020년 11월 25일 수요일</v>
      </c>
    </row>
    <row r="29" spans="2:16" x14ac:dyDescent="0.3">
      <c r="B29" s="2">
        <v>43786</v>
      </c>
      <c r="C29" s="3" t="s">
        <v>55</v>
      </c>
      <c r="D29" s="3" t="s">
        <v>27</v>
      </c>
      <c r="E29" s="3" t="s">
        <v>76</v>
      </c>
      <c r="F29" s="3" t="s">
        <v>97</v>
      </c>
      <c r="G29" s="3" t="s">
        <v>44</v>
      </c>
      <c r="H29" s="4">
        <v>2</v>
      </c>
      <c r="I29" s="4">
        <f t="shared" si="2"/>
        <v>220000</v>
      </c>
      <c r="J29" s="7" t="str" cm="1">
        <f t="array" ref="J29">fn포인트(I29)</f>
        <v/>
      </c>
    </row>
    <row r="30" spans="2:16" x14ac:dyDescent="0.3">
      <c r="B30" s="2">
        <v>43891</v>
      </c>
      <c r="C30" s="3" t="s">
        <v>35</v>
      </c>
      <c r="D30" s="3" t="s">
        <v>41</v>
      </c>
      <c r="E30" s="3" t="s">
        <v>78</v>
      </c>
      <c r="F30" s="3" t="s">
        <v>33</v>
      </c>
      <c r="G30" s="3" t="s">
        <v>22</v>
      </c>
      <c r="H30" s="4">
        <v>10</v>
      </c>
      <c r="I30" s="4">
        <f t="shared" si="2"/>
        <v>520000</v>
      </c>
      <c r="J30" s="7" t="str" cm="1">
        <f t="array" ref="J30">fn포인트(I30)</f>
        <v>10,000점</v>
      </c>
    </row>
    <row r="31" spans="2:16" x14ac:dyDescent="0.3">
      <c r="B31" s="2">
        <v>43802</v>
      </c>
      <c r="C31" s="3" t="s">
        <v>50</v>
      </c>
      <c r="D31" s="3" t="s">
        <v>24</v>
      </c>
      <c r="E31" s="3" t="s">
        <v>82</v>
      </c>
      <c r="F31" s="3" t="s">
        <v>21</v>
      </c>
      <c r="G31" s="3" t="s">
        <v>54</v>
      </c>
      <c r="H31" s="4">
        <v>4</v>
      </c>
      <c r="I31" s="4">
        <f t="shared" si="2"/>
        <v>320000</v>
      </c>
      <c r="J31" s="7" t="str" cm="1">
        <f t="array" ref="J31">fn포인트(I31)</f>
        <v>5,000점</v>
      </c>
    </row>
    <row r="32" spans="2:16" x14ac:dyDescent="0.3">
      <c r="B32" s="2">
        <v>43860</v>
      </c>
      <c r="C32" s="3" t="s">
        <v>190</v>
      </c>
      <c r="D32" s="3" t="s">
        <v>191</v>
      </c>
      <c r="E32" s="3" t="s">
        <v>83</v>
      </c>
      <c r="F32" s="3" t="s">
        <v>33</v>
      </c>
      <c r="G32" s="3" t="s">
        <v>192</v>
      </c>
      <c r="H32" s="4">
        <v>4</v>
      </c>
      <c r="I32" s="4">
        <f t="shared" si="2"/>
        <v>352000</v>
      </c>
      <c r="J32" s="7" t="str" cm="1">
        <f t="array" ref="J32">fn포인트(I32)</f>
        <v>5,000점</v>
      </c>
    </row>
    <row r="33" spans="2:10" x14ac:dyDescent="0.3">
      <c r="B33" s="2">
        <v>43987</v>
      </c>
      <c r="C33" s="3" t="s">
        <v>50</v>
      </c>
      <c r="D33" s="3" t="s">
        <v>24</v>
      </c>
      <c r="E33" s="3" t="s">
        <v>86</v>
      </c>
      <c r="F33" s="3" t="s">
        <v>58</v>
      </c>
      <c r="G33" s="3" t="s">
        <v>44</v>
      </c>
      <c r="H33" s="4">
        <v>10</v>
      </c>
      <c r="I33" s="4">
        <f t="shared" si="2"/>
        <v>990000</v>
      </c>
      <c r="J33" s="7" t="str" cm="1">
        <f t="array" ref="J33">fn포인트(I33)</f>
        <v>10,000점</v>
      </c>
    </row>
    <row r="34" spans="2:10" x14ac:dyDescent="0.3">
      <c r="B34" s="2">
        <v>44040</v>
      </c>
      <c r="C34" s="3" t="s">
        <v>50</v>
      </c>
      <c r="D34" s="3" t="s">
        <v>24</v>
      </c>
      <c r="E34" s="3" t="s">
        <v>89</v>
      </c>
      <c r="F34" s="3" t="s">
        <v>161</v>
      </c>
      <c r="G34" s="3" t="s">
        <v>193</v>
      </c>
      <c r="H34" s="4">
        <v>19</v>
      </c>
      <c r="I34" s="4">
        <f t="shared" si="2"/>
        <v>1235000</v>
      </c>
      <c r="J34" s="7" t="str" cm="1">
        <f t="array" ref="J34">fn포인트(I34)</f>
        <v>10,000점</v>
      </c>
    </row>
    <row r="35" spans="2:10" x14ac:dyDescent="0.3">
      <c r="B35" s="2">
        <v>44094</v>
      </c>
      <c r="C35" s="3" t="s">
        <v>55</v>
      </c>
      <c r="D35" s="3" t="s">
        <v>24</v>
      </c>
      <c r="E35" s="3" t="s">
        <v>92</v>
      </c>
      <c r="F35" s="3" t="s">
        <v>186</v>
      </c>
      <c r="G35" s="3" t="s">
        <v>194</v>
      </c>
      <c r="H35" s="4">
        <v>24</v>
      </c>
      <c r="I35" s="4">
        <f t="shared" si="2"/>
        <v>1080000</v>
      </c>
      <c r="J35" s="7" t="str" cm="1">
        <f t="array" ref="J35">fn포인트(I35)</f>
        <v>10,000점</v>
      </c>
    </row>
    <row r="36" spans="2:10" x14ac:dyDescent="0.3">
      <c r="B36" s="2">
        <v>43842</v>
      </c>
      <c r="C36" s="3" t="s">
        <v>195</v>
      </c>
      <c r="D36" s="3" t="s">
        <v>51</v>
      </c>
      <c r="E36" s="3" t="s">
        <v>96</v>
      </c>
      <c r="F36" s="3" t="s">
        <v>186</v>
      </c>
      <c r="G36" s="3" t="s">
        <v>194</v>
      </c>
      <c r="H36" s="4">
        <v>20</v>
      </c>
      <c r="I36" s="4">
        <f t="shared" si="2"/>
        <v>900000</v>
      </c>
      <c r="J36" s="7" t="str" cm="1">
        <f t="array" ref="J36">fn포인트(I36)</f>
        <v>10,000점</v>
      </c>
    </row>
    <row r="37" spans="2:10" x14ac:dyDescent="0.3">
      <c r="B37" s="2">
        <v>44122</v>
      </c>
      <c r="C37" s="3" t="s">
        <v>196</v>
      </c>
      <c r="D37" s="3" t="s">
        <v>197</v>
      </c>
      <c r="E37" s="3" t="s">
        <v>198</v>
      </c>
      <c r="F37" s="3" t="s">
        <v>33</v>
      </c>
      <c r="G37" s="3" t="s">
        <v>44</v>
      </c>
      <c r="H37" s="4">
        <v>14</v>
      </c>
      <c r="I37" s="4">
        <f t="shared" si="2"/>
        <v>1232000</v>
      </c>
      <c r="J37" s="7" t="str" cm="1">
        <f t="array" ref="J37">fn포인트(I37)</f>
        <v>10,000점</v>
      </c>
    </row>
  </sheetData>
  <mergeCells count="1">
    <mergeCell ref="I8:L8"/>
  </mergeCells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D18"/>
  <sheetViews>
    <sheetView workbookViewId="0">
      <selection activeCell="G9" sqref="G9"/>
    </sheetView>
  </sheetViews>
  <sheetFormatPr defaultRowHeight="16.5" x14ac:dyDescent="0.3"/>
  <cols>
    <col min="1" max="1" width="11.875" bestFit="1" customWidth="1"/>
    <col min="2" max="2" width="11.25" customWidth="1"/>
    <col min="3" max="4" width="14.5" bestFit="1" customWidth="1"/>
  </cols>
  <sheetData>
    <row r="2" spans="1:4" x14ac:dyDescent="0.3">
      <c r="A2" s="10" t="s">
        <v>213</v>
      </c>
      <c r="B2" s="10" t="s">
        <v>214</v>
      </c>
      <c r="C2" t="s">
        <v>253</v>
      </c>
      <c r="D2" t="s">
        <v>254</v>
      </c>
    </row>
    <row r="3" spans="1:4" x14ac:dyDescent="0.3">
      <c r="A3" t="s">
        <v>215</v>
      </c>
      <c r="C3" s="11">
        <v>75333.333333333328</v>
      </c>
      <c r="D3" s="15">
        <v>11.5</v>
      </c>
    </row>
    <row r="4" spans="1:4" x14ac:dyDescent="0.3">
      <c r="B4" t="s">
        <v>216</v>
      </c>
      <c r="C4" s="11">
        <v>68400</v>
      </c>
      <c r="D4" s="15">
        <v>11.8</v>
      </c>
    </row>
    <row r="5" spans="1:4" x14ac:dyDescent="0.3">
      <c r="B5" t="s">
        <v>222</v>
      </c>
      <c r="C5" s="11">
        <v>110000</v>
      </c>
      <c r="D5" s="15">
        <v>10</v>
      </c>
    </row>
    <row r="6" spans="1:4" x14ac:dyDescent="0.3">
      <c r="A6" t="s">
        <v>45</v>
      </c>
      <c r="C6" s="11">
        <v>48833.333333333336</v>
      </c>
      <c r="D6" s="15">
        <v>15.666666666666666</v>
      </c>
    </row>
    <row r="7" spans="1:4" x14ac:dyDescent="0.3">
      <c r="B7" t="s">
        <v>216</v>
      </c>
      <c r="C7" s="11">
        <v>58500</v>
      </c>
      <c r="D7" s="15">
        <v>8</v>
      </c>
    </row>
    <row r="8" spans="1:4" x14ac:dyDescent="0.3">
      <c r="B8" t="s">
        <v>222</v>
      </c>
      <c r="C8" s="11">
        <v>44000</v>
      </c>
      <c r="D8" s="15">
        <v>19.5</v>
      </c>
    </row>
    <row r="9" spans="1:4" x14ac:dyDescent="0.3">
      <c r="A9" t="s">
        <v>218</v>
      </c>
      <c r="C9" s="11">
        <v>96333.333333333328</v>
      </c>
      <c r="D9" s="15">
        <v>27</v>
      </c>
    </row>
    <row r="10" spans="1:4" x14ac:dyDescent="0.3">
      <c r="B10" t="s">
        <v>216</v>
      </c>
      <c r="C10" s="11">
        <v>99000</v>
      </c>
      <c r="D10" s="15">
        <v>43</v>
      </c>
    </row>
    <row r="11" spans="1:4" x14ac:dyDescent="0.3">
      <c r="B11" t="s">
        <v>222</v>
      </c>
      <c r="C11" s="11">
        <v>95000</v>
      </c>
      <c r="D11" s="15">
        <v>19</v>
      </c>
    </row>
    <row r="12" spans="1:4" x14ac:dyDescent="0.3">
      <c r="A12" t="s">
        <v>219</v>
      </c>
      <c r="C12" s="11">
        <v>60750</v>
      </c>
      <c r="D12" s="15">
        <v>10.5</v>
      </c>
    </row>
    <row r="13" spans="1:4" x14ac:dyDescent="0.3">
      <c r="B13" t="s">
        <v>216</v>
      </c>
      <c r="C13" s="11">
        <v>64125</v>
      </c>
      <c r="D13" s="15">
        <v>13.75</v>
      </c>
    </row>
    <row r="14" spans="1:4" x14ac:dyDescent="0.3">
      <c r="B14" t="s">
        <v>222</v>
      </c>
      <c r="C14" s="11">
        <v>54000</v>
      </c>
      <c r="D14" s="15">
        <v>4</v>
      </c>
    </row>
    <row r="15" spans="1:4" x14ac:dyDescent="0.3">
      <c r="A15" t="s">
        <v>220</v>
      </c>
      <c r="C15" s="11">
        <v>63962.5</v>
      </c>
      <c r="D15" s="15">
        <v>12.75</v>
      </c>
    </row>
    <row r="16" spans="1:4" x14ac:dyDescent="0.3">
      <c r="B16" t="s">
        <v>216</v>
      </c>
      <c r="C16" s="11">
        <v>55350</v>
      </c>
      <c r="D16" s="15">
        <v>14</v>
      </c>
    </row>
    <row r="17" spans="1:4" x14ac:dyDescent="0.3">
      <c r="B17" t="s">
        <v>222</v>
      </c>
      <c r="C17" s="11">
        <v>66833.333333333328</v>
      </c>
      <c r="D17" s="15">
        <v>12.333333333333334</v>
      </c>
    </row>
    <row r="18" spans="1:4" x14ac:dyDescent="0.3">
      <c r="A18" t="s">
        <v>221</v>
      </c>
      <c r="C18" s="11">
        <v>67834.61538461539</v>
      </c>
      <c r="D18" s="15">
        <v>13.923076923076923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B2:J28"/>
  <sheetViews>
    <sheetView workbookViewId="0">
      <selection activeCell="L51" sqref="L51"/>
    </sheetView>
  </sheetViews>
  <sheetFormatPr defaultRowHeight="16.5" x14ac:dyDescent="0.3"/>
  <cols>
    <col min="1" max="1" width="3.125" customWidth="1"/>
    <col min="2" max="2" width="13.5" customWidth="1"/>
    <col min="8" max="9" width="9.125" bestFit="1" customWidth="1"/>
    <col min="10" max="10" width="12.875" customWidth="1"/>
  </cols>
  <sheetData>
    <row r="2" spans="2:10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</row>
    <row r="3" spans="2:10" hidden="1" x14ac:dyDescent="0.3">
      <c r="B3" s="2">
        <v>43966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4">
        <v>43000</v>
      </c>
      <c r="I3" s="4">
        <v>20</v>
      </c>
      <c r="J3" s="4">
        <v>860000</v>
      </c>
    </row>
    <row r="4" spans="2:10" hidden="1" x14ac:dyDescent="0.3">
      <c r="B4" s="2">
        <v>43794</v>
      </c>
      <c r="C4" s="3" t="s">
        <v>14</v>
      </c>
      <c r="D4" s="3" t="s">
        <v>15</v>
      </c>
      <c r="E4" s="3" t="s">
        <v>16</v>
      </c>
      <c r="F4" s="3" t="s">
        <v>17</v>
      </c>
      <c r="G4" s="3" t="s">
        <v>13</v>
      </c>
      <c r="H4" s="4">
        <v>43000</v>
      </c>
      <c r="I4" s="4">
        <v>5</v>
      </c>
      <c r="J4" s="4">
        <v>215000</v>
      </c>
    </row>
    <row r="5" spans="2:10" hidden="1" x14ac:dyDescent="0.3">
      <c r="B5" s="2">
        <v>43925</v>
      </c>
      <c r="C5" s="3" t="s">
        <v>14</v>
      </c>
      <c r="D5" s="3" t="s">
        <v>10</v>
      </c>
      <c r="E5" s="3" t="s">
        <v>20</v>
      </c>
      <c r="F5" s="3" t="s">
        <v>21</v>
      </c>
      <c r="G5" s="3" t="s">
        <v>22</v>
      </c>
      <c r="H5" s="4">
        <v>65000</v>
      </c>
      <c r="I5" s="4">
        <v>7</v>
      </c>
      <c r="J5" s="4">
        <v>455000</v>
      </c>
    </row>
    <row r="6" spans="2:10" x14ac:dyDescent="0.3">
      <c r="B6" s="2">
        <v>44002</v>
      </c>
      <c r="C6" s="3" t="s">
        <v>23</v>
      </c>
      <c r="D6" s="3" t="s">
        <v>24</v>
      </c>
      <c r="E6" s="3" t="s">
        <v>25</v>
      </c>
      <c r="F6" s="3" t="s">
        <v>21</v>
      </c>
      <c r="G6" s="3" t="s">
        <v>26</v>
      </c>
      <c r="H6" s="4">
        <v>110000</v>
      </c>
      <c r="I6" s="4">
        <v>43</v>
      </c>
      <c r="J6" s="4">
        <v>4730000</v>
      </c>
    </row>
    <row r="7" spans="2:10" hidden="1" x14ac:dyDescent="0.3">
      <c r="B7" s="2">
        <v>43941</v>
      </c>
      <c r="C7" s="3" t="s">
        <v>14</v>
      </c>
      <c r="D7" s="3" t="s">
        <v>27</v>
      </c>
      <c r="E7" s="3" t="s">
        <v>28</v>
      </c>
      <c r="F7" s="3" t="s">
        <v>21</v>
      </c>
      <c r="G7" s="3" t="s">
        <v>29</v>
      </c>
      <c r="H7" s="4">
        <v>45000</v>
      </c>
      <c r="I7" s="4">
        <v>34</v>
      </c>
      <c r="J7" s="4">
        <v>1530000</v>
      </c>
    </row>
    <row r="8" spans="2:10" hidden="1" x14ac:dyDescent="0.3">
      <c r="B8" s="2">
        <v>43910</v>
      </c>
      <c r="C8" s="3" t="s">
        <v>9</v>
      </c>
      <c r="D8" s="3" t="s">
        <v>31</v>
      </c>
      <c r="E8" s="3" t="s">
        <v>32</v>
      </c>
      <c r="F8" s="3" t="s">
        <v>12</v>
      </c>
      <c r="G8" s="3" t="s">
        <v>34</v>
      </c>
      <c r="H8" s="4">
        <v>80000</v>
      </c>
      <c r="I8" s="4">
        <v>6</v>
      </c>
      <c r="J8" s="4">
        <v>400000</v>
      </c>
    </row>
    <row r="9" spans="2:10" hidden="1" x14ac:dyDescent="0.3">
      <c r="B9" s="2">
        <v>43937</v>
      </c>
      <c r="C9" s="3" t="s">
        <v>14</v>
      </c>
      <c r="D9" s="3" t="s">
        <v>24</v>
      </c>
      <c r="E9" s="3" t="s">
        <v>37</v>
      </c>
      <c r="F9" s="3" t="s">
        <v>12</v>
      </c>
      <c r="G9" s="3" t="s">
        <v>22</v>
      </c>
      <c r="H9" s="4">
        <v>65000</v>
      </c>
      <c r="I9" s="4">
        <v>3</v>
      </c>
      <c r="J9" s="4">
        <v>155000</v>
      </c>
    </row>
    <row r="10" spans="2:10" x14ac:dyDescent="0.3">
      <c r="B10" s="2">
        <v>43999</v>
      </c>
      <c r="C10" s="3" t="s">
        <v>23</v>
      </c>
      <c r="D10" s="3" t="s">
        <v>31</v>
      </c>
      <c r="E10" s="3" t="s">
        <v>42</v>
      </c>
      <c r="F10" s="3" t="s">
        <v>12</v>
      </c>
      <c r="G10" s="3" t="s">
        <v>26</v>
      </c>
      <c r="H10" s="4">
        <v>110000</v>
      </c>
      <c r="I10" s="4">
        <v>28</v>
      </c>
      <c r="J10" s="4">
        <v>3080000</v>
      </c>
    </row>
    <row r="11" spans="2:10" hidden="1" x14ac:dyDescent="0.3">
      <c r="B11" s="2">
        <v>44060</v>
      </c>
      <c r="C11" s="3" t="s">
        <v>45</v>
      </c>
      <c r="D11" s="3" t="s">
        <v>27</v>
      </c>
      <c r="E11" s="3" t="s">
        <v>47</v>
      </c>
      <c r="F11" s="3" t="s">
        <v>21</v>
      </c>
      <c r="G11" s="3" t="s">
        <v>29</v>
      </c>
      <c r="H11" s="4">
        <v>45000</v>
      </c>
      <c r="I11" s="4">
        <v>22</v>
      </c>
      <c r="J11" s="4">
        <v>990000</v>
      </c>
    </row>
    <row r="12" spans="2:10" hidden="1" x14ac:dyDescent="0.3">
      <c r="B12" s="2">
        <v>43882</v>
      </c>
      <c r="C12" s="3" t="s">
        <v>50</v>
      </c>
      <c r="D12" s="3" t="s">
        <v>15</v>
      </c>
      <c r="E12" s="3" t="s">
        <v>52</v>
      </c>
      <c r="F12" s="3" t="s">
        <v>21</v>
      </c>
      <c r="G12" s="3" t="s">
        <v>34</v>
      </c>
      <c r="H12" s="4">
        <v>80000</v>
      </c>
      <c r="I12" s="4">
        <v>2</v>
      </c>
      <c r="J12" s="4">
        <v>160000</v>
      </c>
    </row>
    <row r="13" spans="2:10" hidden="1" x14ac:dyDescent="0.3">
      <c r="B13" s="2">
        <v>44126</v>
      </c>
      <c r="C13" s="3" t="s">
        <v>9</v>
      </c>
      <c r="D13" s="3" t="s">
        <v>27</v>
      </c>
      <c r="E13" s="3" t="s">
        <v>57</v>
      </c>
      <c r="F13" s="3" t="s">
        <v>17</v>
      </c>
      <c r="G13" s="3" t="s">
        <v>13</v>
      </c>
      <c r="H13" s="4">
        <v>43000</v>
      </c>
      <c r="I13" s="4">
        <v>2</v>
      </c>
      <c r="J13" s="4">
        <v>86000</v>
      </c>
    </row>
    <row r="14" spans="2:10" hidden="1" x14ac:dyDescent="0.3">
      <c r="B14" s="2">
        <v>43804</v>
      </c>
      <c r="C14" s="3" t="s">
        <v>23</v>
      </c>
      <c r="D14" s="3" t="s">
        <v>15</v>
      </c>
      <c r="E14" s="3" t="s">
        <v>60</v>
      </c>
      <c r="F14" s="3" t="s">
        <v>17</v>
      </c>
      <c r="G14" s="3" t="s">
        <v>34</v>
      </c>
      <c r="H14" s="4">
        <v>80000</v>
      </c>
      <c r="I14" s="4">
        <v>10</v>
      </c>
      <c r="J14" s="4">
        <v>520000</v>
      </c>
    </row>
    <row r="15" spans="2:10" hidden="1" x14ac:dyDescent="0.3">
      <c r="B15" s="2">
        <v>43825</v>
      </c>
      <c r="C15" s="3" t="s">
        <v>9</v>
      </c>
      <c r="D15" s="3" t="s">
        <v>31</v>
      </c>
      <c r="E15" s="3" t="s">
        <v>63</v>
      </c>
      <c r="F15" s="3" t="s">
        <v>12</v>
      </c>
      <c r="G15" s="3" t="s">
        <v>34</v>
      </c>
      <c r="H15" s="4">
        <v>80000</v>
      </c>
      <c r="I15" s="4">
        <v>8</v>
      </c>
      <c r="J15" s="4">
        <v>640000</v>
      </c>
    </row>
    <row r="16" spans="2:10" hidden="1" x14ac:dyDescent="0.3">
      <c r="B16" s="2">
        <v>43907</v>
      </c>
      <c r="C16" s="3" t="s">
        <v>9</v>
      </c>
      <c r="D16" s="3" t="s">
        <v>15</v>
      </c>
      <c r="E16" s="3" t="s">
        <v>66</v>
      </c>
      <c r="F16" s="3" t="s">
        <v>21</v>
      </c>
      <c r="G16" s="3" t="s">
        <v>13</v>
      </c>
      <c r="H16" s="4">
        <v>43000</v>
      </c>
      <c r="I16" s="4">
        <v>11</v>
      </c>
      <c r="J16" s="4">
        <v>473000</v>
      </c>
    </row>
    <row r="17" spans="2:10" hidden="1" x14ac:dyDescent="0.3">
      <c r="B17" s="2">
        <v>44092</v>
      </c>
      <c r="C17" s="3" t="s">
        <v>45</v>
      </c>
      <c r="D17" s="3" t="s">
        <v>24</v>
      </c>
      <c r="E17" s="3" t="s">
        <v>68</v>
      </c>
      <c r="F17" s="3" t="s">
        <v>21</v>
      </c>
      <c r="G17" s="3" t="s">
        <v>13</v>
      </c>
      <c r="H17" s="4">
        <v>43000</v>
      </c>
      <c r="I17" s="4">
        <v>17</v>
      </c>
      <c r="J17" s="4">
        <v>731000</v>
      </c>
    </row>
    <row r="18" spans="2:10" hidden="1" x14ac:dyDescent="0.3">
      <c r="B18" s="2">
        <v>44039</v>
      </c>
      <c r="C18" s="3" t="s">
        <v>9</v>
      </c>
      <c r="D18" s="3" t="s">
        <v>10</v>
      </c>
      <c r="E18" s="3" t="s">
        <v>71</v>
      </c>
      <c r="F18" s="3" t="s">
        <v>17</v>
      </c>
      <c r="G18" s="3" t="s">
        <v>34</v>
      </c>
      <c r="H18" s="4">
        <v>80000</v>
      </c>
      <c r="I18" s="4">
        <v>29</v>
      </c>
      <c r="J18" s="4">
        <v>220000</v>
      </c>
    </row>
    <row r="19" spans="2:10" hidden="1" x14ac:dyDescent="0.3">
      <c r="B19" s="2">
        <v>43853</v>
      </c>
      <c r="C19" s="3" t="s">
        <v>45</v>
      </c>
      <c r="D19" s="3" t="s">
        <v>31</v>
      </c>
      <c r="E19" s="3" t="s">
        <v>74</v>
      </c>
      <c r="F19" s="3" t="s">
        <v>12</v>
      </c>
      <c r="G19" s="3" t="s">
        <v>22</v>
      </c>
      <c r="H19" s="4">
        <v>65000</v>
      </c>
      <c r="I19" s="4">
        <v>8</v>
      </c>
      <c r="J19" s="4">
        <v>520000</v>
      </c>
    </row>
    <row r="20" spans="2:10" x14ac:dyDescent="0.3">
      <c r="B20" s="2">
        <v>43786</v>
      </c>
      <c r="C20" s="3" t="s">
        <v>9</v>
      </c>
      <c r="D20" s="3" t="s">
        <v>27</v>
      </c>
      <c r="E20" s="3" t="s">
        <v>76</v>
      </c>
      <c r="F20" s="3" t="s">
        <v>21</v>
      </c>
      <c r="G20" s="3" t="s">
        <v>26</v>
      </c>
      <c r="H20" s="4">
        <v>110000</v>
      </c>
      <c r="I20" s="4">
        <v>2</v>
      </c>
      <c r="J20" s="4">
        <v>220000</v>
      </c>
    </row>
    <row r="21" spans="2:10" hidden="1" x14ac:dyDescent="0.3">
      <c r="B21" s="2">
        <v>43891</v>
      </c>
      <c r="C21" s="3" t="s">
        <v>14</v>
      </c>
      <c r="D21" s="3" t="s">
        <v>31</v>
      </c>
      <c r="E21" s="3" t="s">
        <v>78</v>
      </c>
      <c r="F21" s="3" t="s">
        <v>12</v>
      </c>
      <c r="G21" s="3" t="s">
        <v>22</v>
      </c>
      <c r="H21" s="4">
        <v>65000</v>
      </c>
      <c r="I21" s="4">
        <v>10</v>
      </c>
      <c r="J21" s="4">
        <v>510000</v>
      </c>
    </row>
    <row r="22" spans="2:10" hidden="1" x14ac:dyDescent="0.3">
      <c r="B22" s="2">
        <v>43802</v>
      </c>
      <c r="C22" s="3" t="s">
        <v>50</v>
      </c>
      <c r="D22" s="3" t="s">
        <v>24</v>
      </c>
      <c r="E22" s="3" t="s">
        <v>82</v>
      </c>
      <c r="F22" s="3" t="s">
        <v>21</v>
      </c>
      <c r="G22" s="3" t="s">
        <v>34</v>
      </c>
      <c r="H22" s="4">
        <v>80000</v>
      </c>
      <c r="I22" s="4">
        <v>4</v>
      </c>
      <c r="J22" s="4">
        <v>300000</v>
      </c>
    </row>
    <row r="23" spans="2:10" x14ac:dyDescent="0.3">
      <c r="B23" s="2">
        <v>43860</v>
      </c>
      <c r="C23" s="3" t="s">
        <v>14</v>
      </c>
      <c r="D23" s="3" t="s">
        <v>31</v>
      </c>
      <c r="E23" s="3" t="s">
        <v>83</v>
      </c>
      <c r="F23" s="3" t="s">
        <v>12</v>
      </c>
      <c r="G23" s="3" t="s">
        <v>26</v>
      </c>
      <c r="H23" s="4">
        <v>110000</v>
      </c>
      <c r="I23" s="4">
        <v>4</v>
      </c>
      <c r="J23" s="4">
        <v>440000</v>
      </c>
    </row>
    <row r="24" spans="2:10" x14ac:dyDescent="0.3">
      <c r="B24" s="2">
        <v>43987</v>
      </c>
      <c r="C24" s="3" t="s">
        <v>50</v>
      </c>
      <c r="D24" s="3" t="s">
        <v>24</v>
      </c>
      <c r="E24" s="3" t="s">
        <v>86</v>
      </c>
      <c r="F24" s="3" t="s">
        <v>17</v>
      </c>
      <c r="G24" s="3" t="s">
        <v>26</v>
      </c>
      <c r="H24" s="4">
        <v>110000</v>
      </c>
      <c r="I24" s="4">
        <v>10</v>
      </c>
      <c r="J24" s="4">
        <v>1100000</v>
      </c>
    </row>
    <row r="25" spans="2:10" hidden="1" x14ac:dyDescent="0.3">
      <c r="B25" s="2">
        <v>44040</v>
      </c>
      <c r="C25" s="3" t="s">
        <v>50</v>
      </c>
      <c r="D25" s="3" t="s">
        <v>24</v>
      </c>
      <c r="E25" s="3" t="s">
        <v>89</v>
      </c>
      <c r="F25" s="3" t="s">
        <v>21</v>
      </c>
      <c r="G25" s="3" t="s">
        <v>22</v>
      </c>
      <c r="H25" s="4">
        <v>65000</v>
      </c>
      <c r="I25" s="4">
        <v>19</v>
      </c>
      <c r="J25" s="4">
        <v>1235000</v>
      </c>
    </row>
    <row r="26" spans="2:10" hidden="1" x14ac:dyDescent="0.3">
      <c r="B26" s="2">
        <v>44094</v>
      </c>
      <c r="C26" s="3" t="s">
        <v>9</v>
      </c>
      <c r="D26" s="3" t="s">
        <v>24</v>
      </c>
      <c r="E26" s="3" t="s">
        <v>92</v>
      </c>
      <c r="F26" s="3" t="s">
        <v>21</v>
      </c>
      <c r="G26" s="3" t="s">
        <v>29</v>
      </c>
      <c r="H26" s="4">
        <v>45000</v>
      </c>
      <c r="I26" s="4">
        <v>24</v>
      </c>
      <c r="J26" s="4">
        <v>1080000</v>
      </c>
    </row>
    <row r="27" spans="2:10" hidden="1" x14ac:dyDescent="0.3">
      <c r="B27" s="2">
        <v>43842</v>
      </c>
      <c r="C27" s="3" t="s">
        <v>50</v>
      </c>
      <c r="D27" s="3" t="s">
        <v>15</v>
      </c>
      <c r="E27" s="3" t="s">
        <v>96</v>
      </c>
      <c r="F27" s="3" t="s">
        <v>21</v>
      </c>
      <c r="G27" s="3" t="s">
        <v>29</v>
      </c>
      <c r="H27" s="4">
        <v>45000</v>
      </c>
      <c r="I27" s="4">
        <v>20</v>
      </c>
      <c r="J27" s="4">
        <v>900000</v>
      </c>
    </row>
    <row r="28" spans="2:10" x14ac:dyDescent="0.3">
      <c r="B28" s="2">
        <v>44122</v>
      </c>
      <c r="C28" s="3" t="s">
        <v>50</v>
      </c>
      <c r="D28" s="3" t="s">
        <v>27</v>
      </c>
      <c r="E28" s="3" t="s">
        <v>98</v>
      </c>
      <c r="F28" s="3" t="s">
        <v>12</v>
      </c>
      <c r="G28" s="3" t="s">
        <v>26</v>
      </c>
      <c r="H28" s="4">
        <v>110000</v>
      </c>
      <c r="I28" s="4">
        <v>14</v>
      </c>
      <c r="J28" s="4">
        <v>1540000</v>
      </c>
    </row>
  </sheetData>
  <autoFilter ref="B2:J28" xr:uid="{00000000-0009-0000-0000-000004000000}">
    <filterColumn colId="6">
      <customFilters>
        <customFilter operator="greaterThanOrEqual" val="100000"/>
      </customFilters>
    </filterColumn>
  </autoFilter>
  <dataConsolidate topLabels="1">
    <dataRefs count="4">
      <dataRef ref="D2:F7" sheet="분석작업-2"/>
      <dataRef ref="J2:L8" sheet="분석작업-2"/>
      <dataRef ref="D11:F16" sheet="분석작업-2"/>
      <dataRef ref="J11:L18" sheet="분석작업-2"/>
    </dataRefs>
  </dataConsolidate>
  <phoneticPr fontId="2" type="noConversion"/>
  <dataValidations count="1">
    <dataValidation type="whole" errorStyle="information" allowBlank="1" showInputMessage="1" showErrorMessage="1" errorTitle="입력오류" error="입력범위를 확인하시기 바랍니다" promptTitle="단가범위" prompt="40,000~200,000원" sqref="H3:H28" xr:uid="{00000000-0002-0000-0400-000000000000}">
      <formula1>40000</formula1>
      <formula2>200000</formula2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6"/>
  <sheetViews>
    <sheetView topLeftCell="A10" workbookViewId="0">
      <selection activeCell="N15" sqref="N15"/>
    </sheetView>
  </sheetViews>
  <sheetFormatPr defaultRowHeight="16.5" x14ac:dyDescent="0.3"/>
  <cols>
    <col min="2" max="2" width="13.75" customWidth="1"/>
  </cols>
  <sheetData>
    <row r="2" spans="2:5" x14ac:dyDescent="0.3">
      <c r="B2" t="s">
        <v>200</v>
      </c>
    </row>
    <row r="3" spans="2:5" x14ac:dyDescent="0.3">
      <c r="B3" s="3" t="s">
        <v>201</v>
      </c>
      <c r="C3" s="3" t="s">
        <v>202</v>
      </c>
      <c r="D3" s="3" t="s">
        <v>203</v>
      </c>
      <c r="E3" s="3" t="s">
        <v>204</v>
      </c>
    </row>
    <row r="4" spans="2:5" x14ac:dyDescent="0.3">
      <c r="B4" s="3" t="s">
        <v>205</v>
      </c>
      <c r="C4" s="6">
        <v>91</v>
      </c>
      <c r="D4" s="6">
        <v>90</v>
      </c>
      <c r="E4" s="6">
        <v>92</v>
      </c>
    </row>
    <row r="5" spans="2:5" x14ac:dyDescent="0.3">
      <c r="B5" s="3" t="s">
        <v>206</v>
      </c>
      <c r="C5" s="6">
        <v>85</v>
      </c>
      <c r="D5" s="6">
        <v>80</v>
      </c>
      <c r="E5" s="6">
        <v>85</v>
      </c>
    </row>
    <row r="6" spans="2:5" x14ac:dyDescent="0.3">
      <c r="B6" s="3" t="s">
        <v>207</v>
      </c>
      <c r="C6" s="6">
        <v>77</v>
      </c>
      <c r="D6" s="6">
        <v>70</v>
      </c>
      <c r="E6" s="6">
        <v>80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1:L25"/>
  <sheetViews>
    <sheetView tabSelected="1" workbookViewId="0">
      <selection activeCell="M22" sqref="M22"/>
    </sheetView>
  </sheetViews>
  <sheetFormatPr defaultRowHeight="16.5" x14ac:dyDescent="0.3"/>
  <cols>
    <col min="1" max="1" width="4.875" customWidth="1"/>
    <col min="2" max="2" width="10.125" customWidth="1"/>
    <col min="3" max="3" width="10" customWidth="1"/>
    <col min="4" max="4" width="10.5" customWidth="1"/>
    <col min="8" max="8" width="9.625" customWidth="1"/>
    <col min="9" max="9" width="10.5" customWidth="1"/>
    <col min="11" max="11" width="9.5" customWidth="1"/>
    <col min="12" max="12" width="9.875" customWidth="1"/>
  </cols>
  <sheetData>
    <row r="1" spans="2:12" x14ac:dyDescent="0.3">
      <c r="B1" t="s">
        <v>225</v>
      </c>
      <c r="H1" t="s">
        <v>226</v>
      </c>
    </row>
    <row r="2" spans="2:12" x14ac:dyDescent="0.3"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" t="s">
        <v>3</v>
      </c>
      <c r="I2" s="1" t="s">
        <v>4</v>
      </c>
      <c r="J2" s="1" t="s">
        <v>5</v>
      </c>
      <c r="K2" s="1" t="s">
        <v>6</v>
      </c>
      <c r="L2" s="1" t="s">
        <v>7</v>
      </c>
    </row>
    <row r="3" spans="2:12" x14ac:dyDescent="0.3">
      <c r="B3" s="3" t="s">
        <v>227</v>
      </c>
      <c r="C3" s="3" t="s">
        <v>12</v>
      </c>
      <c r="D3" s="3" t="s">
        <v>22</v>
      </c>
      <c r="E3" s="4">
        <v>52000</v>
      </c>
      <c r="F3" s="4">
        <v>10</v>
      </c>
      <c r="H3" s="3" t="s">
        <v>228</v>
      </c>
      <c r="I3" s="3" t="s">
        <v>21</v>
      </c>
      <c r="J3" s="3" t="s">
        <v>34</v>
      </c>
      <c r="K3" s="4">
        <v>80000</v>
      </c>
      <c r="L3" s="4">
        <v>14</v>
      </c>
    </row>
    <row r="4" spans="2:12" x14ac:dyDescent="0.3">
      <c r="B4" s="3" t="s">
        <v>229</v>
      </c>
      <c r="C4" s="3" t="s">
        <v>12</v>
      </c>
      <c r="D4" s="3" t="s">
        <v>22</v>
      </c>
      <c r="E4" s="4">
        <v>52000</v>
      </c>
      <c r="F4" s="4">
        <v>30</v>
      </c>
      <c r="H4" s="3" t="s">
        <v>230</v>
      </c>
      <c r="I4" s="3" t="s">
        <v>12</v>
      </c>
      <c r="J4" s="3" t="s">
        <v>22</v>
      </c>
      <c r="K4" s="4">
        <v>52000</v>
      </c>
      <c r="L4" s="4">
        <v>28</v>
      </c>
    </row>
    <row r="5" spans="2:12" x14ac:dyDescent="0.3">
      <c r="B5" s="3" t="s">
        <v>231</v>
      </c>
      <c r="C5" s="3" t="s">
        <v>21</v>
      </c>
      <c r="D5" s="3" t="s">
        <v>22</v>
      </c>
      <c r="E5" s="4">
        <v>65000</v>
      </c>
      <c r="F5" s="4">
        <v>24</v>
      </c>
      <c r="H5" s="3" t="s">
        <v>232</v>
      </c>
      <c r="I5" s="3" t="s">
        <v>21</v>
      </c>
      <c r="J5" s="3" t="s">
        <v>13</v>
      </c>
      <c r="K5" s="4">
        <v>43000</v>
      </c>
      <c r="L5" s="4">
        <v>20</v>
      </c>
    </row>
    <row r="6" spans="2:12" x14ac:dyDescent="0.3">
      <c r="B6" s="3" t="s">
        <v>233</v>
      </c>
      <c r="C6" s="3" t="s">
        <v>12</v>
      </c>
      <c r="D6" s="3" t="s">
        <v>26</v>
      </c>
      <c r="E6" s="4">
        <v>88000</v>
      </c>
      <c r="F6" s="4">
        <v>5</v>
      </c>
      <c r="H6" s="3" t="s">
        <v>234</v>
      </c>
      <c r="I6" s="3" t="s">
        <v>21</v>
      </c>
      <c r="J6" s="3" t="s">
        <v>13</v>
      </c>
      <c r="K6" s="4">
        <v>43000</v>
      </c>
      <c r="L6" s="4">
        <v>40</v>
      </c>
    </row>
    <row r="7" spans="2:12" x14ac:dyDescent="0.3">
      <c r="B7" s="3" t="s">
        <v>235</v>
      </c>
      <c r="C7" s="3" t="s">
        <v>12</v>
      </c>
      <c r="D7" s="3" t="s">
        <v>13</v>
      </c>
      <c r="E7" s="4">
        <v>34400</v>
      </c>
      <c r="F7" s="4">
        <v>24</v>
      </c>
      <c r="H7" s="3" t="s">
        <v>236</v>
      </c>
      <c r="I7" s="3" t="s">
        <v>21</v>
      </c>
      <c r="J7" s="3" t="s">
        <v>34</v>
      </c>
      <c r="K7" s="4">
        <v>80000</v>
      </c>
      <c r="L7" s="4">
        <v>3</v>
      </c>
    </row>
    <row r="8" spans="2:12" x14ac:dyDescent="0.3">
      <c r="H8" s="3" t="s">
        <v>237</v>
      </c>
      <c r="I8" s="3" t="s">
        <v>17</v>
      </c>
      <c r="J8" s="3" t="s">
        <v>26</v>
      </c>
      <c r="K8" s="4">
        <v>99000</v>
      </c>
      <c r="L8" s="4">
        <v>13</v>
      </c>
    </row>
    <row r="10" spans="2:12" x14ac:dyDescent="0.3">
      <c r="B10" s="12" t="s">
        <v>238</v>
      </c>
      <c r="C10" s="5"/>
      <c r="D10" s="5"/>
      <c r="E10" s="13"/>
      <c r="F10" s="13"/>
      <c r="H10" s="12" t="s">
        <v>239</v>
      </c>
    </row>
    <row r="11" spans="2:12" x14ac:dyDescent="0.3">
      <c r="B11" s="1" t="s">
        <v>3</v>
      </c>
      <c r="C11" s="1" t="s">
        <v>4</v>
      </c>
      <c r="D11" s="1" t="s">
        <v>5</v>
      </c>
      <c r="E11" s="1" t="s">
        <v>6</v>
      </c>
      <c r="F11" s="1" t="s">
        <v>7</v>
      </c>
      <c r="H11" s="1" t="s">
        <v>3</v>
      </c>
      <c r="I11" s="1" t="s">
        <v>4</v>
      </c>
      <c r="J11" s="1" t="s">
        <v>5</v>
      </c>
      <c r="K11" s="1" t="s">
        <v>6</v>
      </c>
      <c r="L11" s="1" t="s">
        <v>7</v>
      </c>
    </row>
    <row r="12" spans="2:12" x14ac:dyDescent="0.3">
      <c r="B12" s="3" t="s">
        <v>240</v>
      </c>
      <c r="C12" s="3" t="s">
        <v>21</v>
      </c>
      <c r="D12" s="3" t="s">
        <v>34</v>
      </c>
      <c r="E12" s="4">
        <v>80000</v>
      </c>
      <c r="F12" s="4">
        <v>14</v>
      </c>
      <c r="H12" s="3" t="s">
        <v>241</v>
      </c>
      <c r="I12" s="3" t="s">
        <v>12</v>
      </c>
      <c r="J12" s="3" t="s">
        <v>22</v>
      </c>
      <c r="K12" s="4">
        <v>52000</v>
      </c>
      <c r="L12" s="4">
        <v>15</v>
      </c>
    </row>
    <row r="13" spans="2:12" x14ac:dyDescent="0.3">
      <c r="B13" s="3" t="s">
        <v>242</v>
      </c>
      <c r="C13" s="3" t="s">
        <v>12</v>
      </c>
      <c r="D13" s="3" t="s">
        <v>22</v>
      </c>
      <c r="E13" s="4">
        <v>52000</v>
      </c>
      <c r="F13" s="4">
        <v>24</v>
      </c>
      <c r="H13" s="3" t="s">
        <v>243</v>
      </c>
      <c r="I13" s="3" t="s">
        <v>21</v>
      </c>
      <c r="J13" s="3" t="s">
        <v>34</v>
      </c>
      <c r="K13" s="4">
        <v>80000</v>
      </c>
      <c r="L13" s="4">
        <v>30</v>
      </c>
    </row>
    <row r="14" spans="2:12" x14ac:dyDescent="0.3">
      <c r="B14" s="3" t="s">
        <v>244</v>
      </c>
      <c r="C14" s="3" t="s">
        <v>21</v>
      </c>
      <c r="D14" s="3" t="s">
        <v>13</v>
      </c>
      <c r="E14" s="4">
        <v>43000</v>
      </c>
      <c r="F14" s="4">
        <v>20</v>
      </c>
      <c r="H14" s="3" t="s">
        <v>245</v>
      </c>
      <c r="I14" s="3" t="s">
        <v>12</v>
      </c>
      <c r="J14" s="3" t="s">
        <v>26</v>
      </c>
      <c r="K14" s="4">
        <v>88000</v>
      </c>
      <c r="L14" s="4">
        <v>22</v>
      </c>
    </row>
    <row r="15" spans="2:12" x14ac:dyDescent="0.3">
      <c r="B15" s="3" t="s">
        <v>246</v>
      </c>
      <c r="C15" s="3" t="s">
        <v>21</v>
      </c>
      <c r="D15" s="3" t="s">
        <v>13</v>
      </c>
      <c r="E15" s="4">
        <v>43000</v>
      </c>
      <c r="F15" s="4">
        <v>10</v>
      </c>
      <c r="H15" s="3" t="s">
        <v>247</v>
      </c>
      <c r="I15" s="3" t="s">
        <v>17</v>
      </c>
      <c r="J15" s="3" t="s">
        <v>29</v>
      </c>
      <c r="K15" s="4">
        <v>40500</v>
      </c>
      <c r="L15" s="4">
        <v>20</v>
      </c>
    </row>
    <row r="16" spans="2:12" x14ac:dyDescent="0.3">
      <c r="B16" s="3" t="s">
        <v>248</v>
      </c>
      <c r="C16" s="3" t="s">
        <v>21</v>
      </c>
      <c r="D16" s="3" t="s">
        <v>34</v>
      </c>
      <c r="E16" s="4">
        <v>80000</v>
      </c>
      <c r="F16" s="4">
        <v>21</v>
      </c>
      <c r="H16" s="3" t="s">
        <v>249</v>
      </c>
      <c r="I16" s="3" t="s">
        <v>17</v>
      </c>
      <c r="J16" s="3" t="s">
        <v>13</v>
      </c>
      <c r="K16" s="4">
        <v>38700</v>
      </c>
      <c r="L16" s="4">
        <v>9</v>
      </c>
    </row>
    <row r="17" spans="2:12" x14ac:dyDescent="0.3">
      <c r="H17" s="3" t="s">
        <v>250</v>
      </c>
      <c r="I17" s="3" t="s">
        <v>21</v>
      </c>
      <c r="J17" s="3" t="s">
        <v>29</v>
      </c>
      <c r="K17" s="4">
        <v>45000</v>
      </c>
      <c r="L17" s="4">
        <v>14</v>
      </c>
    </row>
    <row r="18" spans="2:12" x14ac:dyDescent="0.3">
      <c r="H18" s="3" t="s">
        <v>251</v>
      </c>
      <c r="I18" s="3" t="s">
        <v>21</v>
      </c>
      <c r="J18" s="3" t="s">
        <v>29</v>
      </c>
      <c r="K18" s="4">
        <v>45000</v>
      </c>
      <c r="L18" s="4">
        <v>18</v>
      </c>
    </row>
    <row r="19" spans="2:12" x14ac:dyDescent="0.3">
      <c r="B19" s="12" t="s">
        <v>252</v>
      </c>
    </row>
    <row r="20" spans="2:12" x14ac:dyDescent="0.3">
      <c r="B20" s="1" t="s">
        <v>5</v>
      </c>
      <c r="C20" s="1" t="s">
        <v>6</v>
      </c>
      <c r="D20" s="1" t="s">
        <v>7</v>
      </c>
    </row>
    <row r="21" spans="2:12" x14ac:dyDescent="0.3">
      <c r="B21" s="3" t="s">
        <v>29</v>
      </c>
      <c r="C21" s="14">
        <v>130500</v>
      </c>
      <c r="D21" s="14">
        <v>52</v>
      </c>
    </row>
    <row r="22" spans="2:12" x14ac:dyDescent="0.3">
      <c r="B22" s="3" t="s">
        <v>13</v>
      </c>
      <c r="C22" s="14">
        <v>245100</v>
      </c>
      <c r="D22" s="14">
        <v>123</v>
      </c>
    </row>
    <row r="23" spans="2:12" x14ac:dyDescent="0.3">
      <c r="B23" s="3" t="s">
        <v>22</v>
      </c>
      <c r="C23" s="14">
        <v>325000</v>
      </c>
      <c r="D23" s="14">
        <v>131</v>
      </c>
    </row>
    <row r="24" spans="2:12" x14ac:dyDescent="0.3">
      <c r="B24" s="3" t="s">
        <v>34</v>
      </c>
      <c r="C24" s="14">
        <v>400000</v>
      </c>
      <c r="D24" s="14">
        <v>82</v>
      </c>
    </row>
    <row r="25" spans="2:12" x14ac:dyDescent="0.3">
      <c r="B25" s="3" t="s">
        <v>26</v>
      </c>
      <c r="C25" s="14">
        <v>275000</v>
      </c>
      <c r="D25" s="14">
        <v>40</v>
      </c>
    </row>
  </sheetData>
  <dataConsolidate leftLabels="1" topLabels="1">
    <dataRefs count="4">
      <dataRef ref="D2:F7" sheet="기타작업-2"/>
      <dataRef ref="J2:L8" sheet="기타작업-2"/>
      <dataRef ref="D11:F16" sheet="기타작업-2"/>
      <dataRef ref="J11:L18" sheet="기타작업-2"/>
    </dataRefs>
  </dataConsolidate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품목별합계">
                <anchor moveWithCells="1" siz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품목별합계삭제">
                <anchor moveWithCells="1" siz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G19"/>
  <sheetViews>
    <sheetView workbookViewId="0">
      <selection activeCell="D22" sqref="D22"/>
    </sheetView>
  </sheetViews>
  <sheetFormatPr defaultRowHeight="16.5" x14ac:dyDescent="0.3"/>
  <cols>
    <col min="2" max="2" width="11.125" bestFit="1" customWidth="1"/>
    <col min="7" max="7" width="10.75" bestFit="1" customWidth="1"/>
  </cols>
  <sheetData>
    <row r="3" spans="2:7" x14ac:dyDescent="0.3">
      <c r="B3" t="s">
        <v>208</v>
      </c>
    </row>
    <row r="4" spans="2:7" x14ac:dyDescent="0.3">
      <c r="B4" s="1" t="s">
        <v>209</v>
      </c>
      <c r="C4" s="1" t="s">
        <v>210</v>
      </c>
      <c r="D4" s="1" t="s">
        <v>211</v>
      </c>
      <c r="E4" s="1" t="s">
        <v>199</v>
      </c>
      <c r="F4" s="1" t="s">
        <v>212</v>
      </c>
      <c r="G4" s="1" t="s">
        <v>8</v>
      </c>
    </row>
    <row r="5" spans="2:7" x14ac:dyDescent="0.3">
      <c r="B5" s="2">
        <v>44011</v>
      </c>
      <c r="C5" s="3" t="s">
        <v>223</v>
      </c>
      <c r="D5" s="3" t="s">
        <v>217</v>
      </c>
      <c r="E5" s="7">
        <v>80000</v>
      </c>
      <c r="F5" s="7" t="s">
        <v>224</v>
      </c>
      <c r="G5" s="7">
        <v>2400000</v>
      </c>
    </row>
    <row r="6" spans="2:7" x14ac:dyDescent="0.3">
      <c r="B6" s="2"/>
      <c r="C6" s="3"/>
      <c r="D6" s="3"/>
      <c r="E6" s="7"/>
      <c r="F6" s="7"/>
      <c r="G6" s="7"/>
    </row>
    <row r="7" spans="2:7" x14ac:dyDescent="0.3">
      <c r="B7" s="2"/>
      <c r="C7" s="3"/>
      <c r="D7" s="3"/>
      <c r="E7" s="7"/>
      <c r="F7" s="7"/>
      <c r="G7" s="7"/>
    </row>
    <row r="8" spans="2:7" x14ac:dyDescent="0.3">
      <c r="B8" s="2"/>
      <c r="C8" s="3"/>
      <c r="D8" s="3"/>
      <c r="E8" s="7"/>
      <c r="F8" s="7"/>
      <c r="G8" s="7"/>
    </row>
    <row r="9" spans="2:7" x14ac:dyDescent="0.3">
      <c r="B9" s="2"/>
      <c r="C9" s="3"/>
      <c r="D9" s="3"/>
      <c r="E9" s="7"/>
      <c r="F9" s="7"/>
      <c r="G9" s="7"/>
    </row>
    <row r="10" spans="2:7" x14ac:dyDescent="0.3">
      <c r="B10" s="2"/>
      <c r="C10" s="3"/>
      <c r="D10" s="3"/>
      <c r="E10" s="7"/>
      <c r="F10" s="7"/>
      <c r="G10" s="7"/>
    </row>
    <row r="11" spans="2:7" x14ac:dyDescent="0.3">
      <c r="B11" s="2"/>
      <c r="C11" s="3"/>
      <c r="D11" s="3"/>
      <c r="E11" s="7"/>
      <c r="F11" s="7"/>
      <c r="G11" s="7"/>
    </row>
    <row r="12" spans="2:7" x14ac:dyDescent="0.3">
      <c r="B12" s="2"/>
      <c r="C12" s="3"/>
      <c r="D12" s="3"/>
      <c r="E12" s="7"/>
      <c r="F12" s="7"/>
      <c r="G12" s="7"/>
    </row>
    <row r="13" spans="2:7" x14ac:dyDescent="0.3">
      <c r="B13" s="2"/>
      <c r="C13" s="3"/>
      <c r="D13" s="3"/>
      <c r="E13" s="7"/>
      <c r="F13" s="7"/>
      <c r="G13" s="7"/>
    </row>
    <row r="14" spans="2:7" x14ac:dyDescent="0.3">
      <c r="B14" s="2"/>
      <c r="C14" s="3"/>
      <c r="D14" s="3"/>
      <c r="E14" s="7"/>
      <c r="F14" s="7"/>
      <c r="G14" s="7"/>
    </row>
    <row r="15" spans="2:7" x14ac:dyDescent="0.3">
      <c r="B15" s="2"/>
      <c r="C15" s="3"/>
      <c r="D15" s="3"/>
      <c r="E15" s="7"/>
      <c r="F15" s="7"/>
      <c r="G15" s="7"/>
    </row>
    <row r="16" spans="2:7" x14ac:dyDescent="0.3">
      <c r="B16" s="2"/>
      <c r="C16" s="3"/>
      <c r="D16" s="3"/>
      <c r="E16" s="7"/>
      <c r="F16" s="7"/>
      <c r="G16" s="7"/>
    </row>
    <row r="17" spans="2:7" x14ac:dyDescent="0.3">
      <c r="B17" s="2"/>
      <c r="C17" s="3"/>
      <c r="D17" s="3"/>
      <c r="E17" s="7"/>
      <c r="F17" s="7"/>
      <c r="G17" s="7"/>
    </row>
    <row r="18" spans="2:7" x14ac:dyDescent="0.3">
      <c r="B18" s="2"/>
      <c r="C18" s="3"/>
      <c r="D18" s="3"/>
      <c r="E18" s="7"/>
      <c r="F18" s="7"/>
      <c r="G18" s="7"/>
    </row>
    <row r="19" spans="2:7" x14ac:dyDescent="0.3">
      <c r="B19" s="2"/>
      <c r="C19" s="3"/>
      <c r="D19" s="3"/>
      <c r="E19" s="7"/>
      <c r="F19" s="7"/>
      <c r="G19" s="7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판매입력">
          <controlPr defaultSize="0" autoLine="0" r:id="rId4">
            <anchor moveWithCells="1">
              <from>
                <xdr:col>4</xdr:col>
                <xdr:colOff>542925</xdr:colOff>
                <xdr:row>0</xdr:row>
                <xdr:rowOff>19050</xdr:rowOff>
              </from>
              <to>
                <xdr:col>6</xdr:col>
                <xdr:colOff>638175</xdr:colOff>
                <xdr:row>2</xdr:row>
                <xdr:rowOff>114300</xdr:rowOff>
              </to>
            </anchor>
          </controlPr>
        </control>
      </mc:Choice>
      <mc:Fallback>
        <control shapeId="3073" r:id="rId3" name="cmd판매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'기본작업-2'!Criteria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김진원</cp:lastModifiedBy>
  <dcterms:created xsi:type="dcterms:W3CDTF">2020-04-29T03:32:26Z</dcterms:created>
  <dcterms:modified xsi:type="dcterms:W3CDTF">2024-03-13T06:17:49Z</dcterms:modified>
</cp:coreProperties>
</file>