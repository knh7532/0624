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so404\Downloads\2024_컴활1급\엑셀\완성파일\최신유형기출\"/>
    </mc:Choice>
  </mc:AlternateContent>
  <xr:revisionPtr revIDLastSave="0" documentId="13_ncr:1_{39A119A9-C273-46F4-92AB-0024BA243AEE}" xr6:coauthVersionLast="47" xr6:coauthVersionMax="47" xr10:uidLastSave="{00000000-0000-0000-0000-000000000000}"/>
  <bookViews>
    <workbookView xWindow="1500" yWindow="510" windowWidth="23325" windowHeight="14685" activeTab="7" xr2:uid="{00000000-000D-0000-FFFF-FFFF00000000}"/>
  </bookViews>
  <sheets>
    <sheet name="기본작업-1" sheetId="2" r:id="rId1"/>
    <sheet name="기본작업-2" sheetId="8" r:id="rId2"/>
    <sheet name="계산작업" sheetId="10" r:id="rId3"/>
    <sheet name="분석작업-1" sheetId="4" r:id="rId4"/>
    <sheet name="분석작업-2" sheetId="5" r:id="rId5"/>
    <sheet name="차트작성" sheetId="12" r:id="rId6"/>
    <sheet name="기타작업-1" sheetId="11" r:id="rId7"/>
    <sheet name="기타작업-2" sheetId="14" r:id="rId8"/>
    <sheet name="기타작업-3" sheetId="13" r:id="rId9"/>
  </sheets>
  <functionGroups builtInGroupCount="19"/>
  <definedNames>
    <definedName name="_xlnm._FilterDatabase" localSheetId="0" hidden="1">'기본작업-1'!$A$1:$H$27</definedName>
    <definedName name="_xlnm._FilterDatabase" localSheetId="7" hidden="1">'기타작업-2'!$A$2:$F$13</definedName>
    <definedName name="_xlnm._FilterDatabase" localSheetId="4" hidden="1">'분석작업-2'!$A$2:$F$11</definedName>
    <definedName name="_xlnm.Criteria" localSheetId="0">'기본작업-1'!$K$2:$K$3</definedName>
    <definedName name="_xlnm.Extract" localSheetId="0">'기본작업-1'!$K$7:$N$7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0" l="1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4" i="10"/>
  <c r="M25" i="10" a="1"/>
  <c r="M6" i="10" a="1"/>
  <c r="M8" i="10" a="1"/>
  <c r="M10" i="10" a="1"/>
  <c r="M12" i="10" a="1"/>
  <c r="M14" i="10" a="1"/>
  <c r="M16" i="10" a="1"/>
  <c r="M18" i="10" a="1"/>
  <c r="M20" i="10" a="1"/>
  <c r="M22" i="10" a="1"/>
  <c r="M24" i="10" a="1"/>
  <c r="M26" i="10" a="1"/>
  <c r="M28" i="10" a="1"/>
  <c r="M30" i="10" a="1"/>
  <c r="M5" i="10" a="1"/>
  <c r="M7" i="10" a="1"/>
  <c r="M9" i="10" a="1"/>
  <c r="M11" i="10" a="1"/>
  <c r="M13" i="10" a="1"/>
  <c r="M15" i="10" a="1"/>
  <c r="M17" i="10" a="1"/>
  <c r="M19" i="10" a="1"/>
  <c r="M21" i="10" a="1"/>
  <c r="M23" i="10" a="1"/>
  <c r="M27" i="10" a="1"/>
  <c r="M29" i="10" a="1"/>
  <c r="M31" i="10" a="1"/>
  <c r="M4" i="10" a="1"/>
  <c r="M31" i="10" l="1"/>
  <c r="M29" i="10"/>
  <c r="M27" i="10"/>
  <c r="M23" i="10"/>
  <c r="M21" i="10"/>
  <c r="M19" i="10"/>
  <c r="M17" i="10"/>
  <c r="M15" i="10"/>
  <c r="M13" i="10"/>
  <c r="M11" i="10"/>
  <c r="M9" i="10"/>
  <c r="M7" i="10"/>
  <c r="M5" i="10"/>
  <c r="M30" i="10"/>
  <c r="M28" i="10"/>
  <c r="M26" i="10"/>
  <c r="M24" i="10"/>
  <c r="M22" i="10"/>
  <c r="M20" i="10"/>
  <c r="M18" i="10"/>
  <c r="M16" i="10"/>
  <c r="M14" i="10"/>
  <c r="M12" i="10"/>
  <c r="M10" i="10"/>
  <c r="M8" i="10"/>
  <c r="M6" i="10"/>
  <c r="M25" i="10"/>
  <c r="M4" i="10"/>
  <c r="F5" i="14"/>
  <c r="F10" i="14"/>
  <c r="F12" i="14"/>
  <c r="F7" i="14"/>
  <c r="F11" i="14"/>
  <c r="F9" i="14"/>
  <c r="F4" i="14"/>
  <c r="F6" i="14"/>
  <c r="F13" i="14"/>
  <c r="F3" i="14"/>
  <c r="F8" i="14"/>
  <c r="F11" i="5" l="1"/>
  <c r="F10" i="5"/>
  <c r="F9" i="5"/>
  <c r="F8" i="5"/>
  <c r="F7" i="5"/>
  <c r="F6" i="5"/>
  <c r="F5" i="5"/>
  <c r="F4" i="5"/>
  <c r="F3" i="5"/>
  <c r="H36" i="10" l="1" a="1"/>
  <c r="H36" i="10" s="1"/>
  <c r="I36" i="10" a="1"/>
  <c r="I36" i="10" s="1"/>
  <c r="J36" i="10" a="1"/>
  <c r="J36" i="10" s="1"/>
  <c r="K36" i="10" a="1"/>
  <c r="K36" i="10" s="1"/>
  <c r="H37" i="10" a="1"/>
  <c r="H37" i="10" s="1"/>
  <c r="I37" i="10" a="1"/>
  <c r="I37" i="10"/>
  <c r="J37" i="10" a="1"/>
  <c r="J37" i="10" s="1"/>
  <c r="K37" i="10" a="1"/>
  <c r="K37" i="10" s="1"/>
  <c r="I35" i="10" a="1"/>
  <c r="I35" i="10" s="1"/>
  <c r="J35" i="10" a="1"/>
  <c r="J35" i="10" s="1"/>
  <c r="K35" i="10" a="1"/>
  <c r="K35" i="10" s="1"/>
  <c r="H35" i="10" a="1"/>
  <c r="H35" i="10" s="1"/>
  <c r="L5" i="10" l="1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4" i="10"/>
  <c r="K3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학원등록.accdb;DefaultDir=C:\OA;DriverId=25;FIL=MS Access;MaxBufferSize=2048;PageTimeout=5;" command="SELECT 등록현황.접수번호, 등록현황.접수코드, 등록현황.등록일자, 등록현황.이름, 등록현황.학년, 등록현황.과목, 등록현황.담당강사, 등록현황.수강료_x000d__x000a_FROM `C:\OA\학원등록.accdb`.등록현황 등록현황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<sst xmlns="http://schemas.openxmlformats.org/spreadsheetml/2006/main" count="498" uniqueCount="250">
  <si>
    <t>접수코드</t>
  </si>
  <si>
    <t>등록일자</t>
  </si>
  <si>
    <t>이름</t>
  </si>
  <si>
    <t>학년</t>
  </si>
  <si>
    <t>과목</t>
  </si>
  <si>
    <t>담당강사</t>
  </si>
  <si>
    <t>수강료</t>
  </si>
  <si>
    <t>수강가산점</t>
    <phoneticPr fontId="4" type="noConversion"/>
  </si>
  <si>
    <t>A200</t>
  </si>
  <si>
    <t>영어</t>
  </si>
  <si>
    <t>A300</t>
  </si>
  <si>
    <t>B100</t>
  </si>
  <si>
    <t>수학</t>
  </si>
  <si>
    <t>C100</t>
  </si>
  <si>
    <t>C200</t>
  </si>
  <si>
    <t>C300</t>
  </si>
  <si>
    <t>D300</t>
  </si>
  <si>
    <t>국어</t>
  </si>
  <si>
    <t>F200</t>
    <phoneticPr fontId="4" type="noConversion"/>
  </si>
  <si>
    <t>물리2</t>
    <phoneticPr fontId="4" type="noConversion"/>
  </si>
  <si>
    <t>G100</t>
    <phoneticPr fontId="4" type="noConversion"/>
  </si>
  <si>
    <t>체육</t>
    <phoneticPr fontId="4" type="noConversion"/>
  </si>
  <si>
    <t>G100</t>
    <phoneticPr fontId="4" type="noConversion"/>
  </si>
  <si>
    <t>체육</t>
    <phoneticPr fontId="4" type="noConversion"/>
  </si>
  <si>
    <t>G100</t>
    <phoneticPr fontId="4" type="noConversion"/>
  </si>
  <si>
    <t>체육</t>
    <phoneticPr fontId="4" type="noConversion"/>
  </si>
  <si>
    <t>G100</t>
    <phoneticPr fontId="4" type="noConversion"/>
  </si>
  <si>
    <t>체육</t>
    <phoneticPr fontId="4" type="noConversion"/>
  </si>
  <si>
    <t>신원빈</t>
  </si>
  <si>
    <t>고영주</t>
  </si>
  <si>
    <t>김성수</t>
  </si>
  <si>
    <t>이정우</t>
  </si>
  <si>
    <t>김준하</t>
  </si>
  <si>
    <t>김대영</t>
  </si>
  <si>
    <t>박준형</t>
  </si>
  <si>
    <t>송용권</t>
  </si>
  <si>
    <t>물리1</t>
  </si>
  <si>
    <t>김지헌</t>
  </si>
  <si>
    <t>김종훈</t>
  </si>
  <si>
    <t>미술</t>
  </si>
  <si>
    <t xml:space="preserve">미술 </t>
  </si>
  <si>
    <t>김경진</t>
  </si>
  <si>
    <t>최민혁</t>
  </si>
  <si>
    <t>장지애</t>
  </si>
  <si>
    <t>손유종</t>
  </si>
  <si>
    <t>정윤호</t>
  </si>
  <si>
    <t>체육</t>
  </si>
  <si>
    <t>송윤아</t>
  </si>
  <si>
    <t>주민기</t>
  </si>
  <si>
    <t>김현빈</t>
  </si>
  <si>
    <t>이유주</t>
  </si>
  <si>
    <t>노상빈</t>
  </si>
  <si>
    <t>허사빈</t>
  </si>
  <si>
    <t>김병관</t>
  </si>
  <si>
    <t>신하림</t>
  </si>
  <si>
    <t>안정진</t>
  </si>
  <si>
    <t>이재겸</t>
  </si>
  <si>
    <t>이나균</t>
  </si>
  <si>
    <t>여현지</t>
  </si>
  <si>
    <t>이명희</t>
  </si>
  <si>
    <t>이서진</t>
  </si>
  <si>
    <t>민서준</t>
  </si>
  <si>
    <t>이정진</t>
  </si>
  <si>
    <t>물리2</t>
  </si>
  <si>
    <t>전진호</t>
  </si>
  <si>
    <t>김종유</t>
  </si>
  <si>
    <t>황준희</t>
  </si>
  <si>
    <t>박정</t>
  </si>
  <si>
    <t>이우성</t>
  </si>
  <si>
    <t>이하랑</t>
  </si>
  <si>
    <t>김현우</t>
  </si>
  <si>
    <t>이나균</t>
    <phoneticPr fontId="2" type="noConversion"/>
  </si>
  <si>
    <t>이나균</t>
    <phoneticPr fontId="2" type="noConversion"/>
  </si>
  <si>
    <t>신하림</t>
    <phoneticPr fontId="2" type="noConversion"/>
  </si>
  <si>
    <t>신하림</t>
    <phoneticPr fontId="2" type="noConversion"/>
  </si>
  <si>
    <t>김대영</t>
    <phoneticPr fontId="2" type="noConversion"/>
  </si>
  <si>
    <t>김대영</t>
    <phoneticPr fontId="2" type="noConversion"/>
  </si>
  <si>
    <t>한국사</t>
  </si>
  <si>
    <t>한국사</t>
    <phoneticPr fontId="2" type="noConversion"/>
  </si>
  <si>
    <t>한국사</t>
    <phoneticPr fontId="2" type="noConversion"/>
  </si>
  <si>
    <t>한국사</t>
    <phoneticPr fontId="2" type="noConversion"/>
  </si>
  <si>
    <t>황준희</t>
    <phoneticPr fontId="2" type="noConversion"/>
  </si>
  <si>
    <t>황준희</t>
    <phoneticPr fontId="2" type="noConversion"/>
  </si>
  <si>
    <t>황준희</t>
    <phoneticPr fontId="2" type="noConversion"/>
  </si>
  <si>
    <t>황준희</t>
    <phoneticPr fontId="2" type="noConversion"/>
  </si>
  <si>
    <t>고영주</t>
    <phoneticPr fontId="2" type="noConversion"/>
  </si>
  <si>
    <t>이서진</t>
    <phoneticPr fontId="2" type="noConversion"/>
  </si>
  <si>
    <t>이서진</t>
    <phoneticPr fontId="2" type="noConversion"/>
  </si>
  <si>
    <t>이서진</t>
    <phoneticPr fontId="2" type="noConversion"/>
  </si>
  <si>
    <t>이명희</t>
    <phoneticPr fontId="2" type="noConversion"/>
  </si>
  <si>
    <t>전진호</t>
    <phoneticPr fontId="4" type="noConversion"/>
  </si>
  <si>
    <t>송윤아</t>
    <phoneticPr fontId="4" type="noConversion"/>
  </si>
  <si>
    <t>송윤아</t>
    <phoneticPr fontId="4" type="noConversion"/>
  </si>
  <si>
    <t>[표1]</t>
    <phoneticPr fontId="4" type="noConversion"/>
  </si>
  <si>
    <t>성명</t>
    <phoneticPr fontId="4" type="noConversion"/>
  </si>
  <si>
    <t>기본급</t>
    <phoneticPr fontId="4" type="noConversion"/>
  </si>
  <si>
    <t>과목수당</t>
    <phoneticPr fontId="4" type="noConversion"/>
  </si>
  <si>
    <t>학생수당</t>
    <phoneticPr fontId="4" type="noConversion"/>
  </si>
  <si>
    <t>급여</t>
    <phoneticPr fontId="4" type="noConversion"/>
  </si>
  <si>
    <t>연구비</t>
    <phoneticPr fontId="4" type="noConversion"/>
  </si>
  <si>
    <t>조건</t>
    <phoneticPr fontId="2" type="noConversion"/>
  </si>
  <si>
    <t>수강료 납부 현황</t>
    <phoneticPr fontId="2" type="noConversion"/>
  </si>
  <si>
    <t>수강가산점</t>
    <phoneticPr fontId="4" type="noConversion"/>
  </si>
  <si>
    <t>이나균</t>
    <phoneticPr fontId="2" type="noConversion"/>
  </si>
  <si>
    <t>신하림</t>
    <phoneticPr fontId="2" type="noConversion"/>
  </si>
  <si>
    <t>신하림</t>
    <phoneticPr fontId="2" type="noConversion"/>
  </si>
  <si>
    <t>김대영</t>
    <phoneticPr fontId="2" type="noConversion"/>
  </si>
  <si>
    <t>한국사</t>
    <phoneticPr fontId="2" type="noConversion"/>
  </si>
  <si>
    <t>황준희</t>
    <phoneticPr fontId="2" type="noConversion"/>
  </si>
  <si>
    <t>한국사</t>
    <phoneticPr fontId="2" type="noConversion"/>
  </si>
  <si>
    <t>황준희</t>
    <phoneticPr fontId="2" type="noConversion"/>
  </si>
  <si>
    <t>고영주</t>
    <phoneticPr fontId="2" type="noConversion"/>
  </si>
  <si>
    <t>이서진</t>
    <phoneticPr fontId="2" type="noConversion"/>
  </si>
  <si>
    <t>이서진</t>
    <phoneticPr fontId="2" type="noConversion"/>
  </si>
  <si>
    <t>이명희</t>
    <phoneticPr fontId="2" type="noConversion"/>
  </si>
  <si>
    <t>F200</t>
    <phoneticPr fontId="4" type="noConversion"/>
  </si>
  <si>
    <t>물리2</t>
    <phoneticPr fontId="4" type="noConversion"/>
  </si>
  <si>
    <t>전진호</t>
    <phoneticPr fontId="4" type="noConversion"/>
  </si>
  <si>
    <t>G100</t>
    <phoneticPr fontId="4" type="noConversion"/>
  </si>
  <si>
    <t>체육</t>
    <phoneticPr fontId="4" type="noConversion"/>
  </si>
  <si>
    <t>송윤아</t>
    <phoneticPr fontId="4" type="noConversion"/>
  </si>
  <si>
    <t>송윤아</t>
    <phoneticPr fontId="4" type="noConversion"/>
  </si>
  <si>
    <t>G100</t>
    <phoneticPr fontId="4" type="noConversion"/>
  </si>
  <si>
    <t>체육</t>
    <phoneticPr fontId="4" type="noConversion"/>
  </si>
  <si>
    <t>[표1]</t>
    <phoneticPr fontId="2" type="noConversion"/>
  </si>
  <si>
    <t>강사코드</t>
    <phoneticPr fontId="2" type="noConversion"/>
  </si>
  <si>
    <t>강의코드</t>
    <phoneticPr fontId="2" type="noConversion"/>
  </si>
  <si>
    <t>학년</t>
    <phoneticPr fontId="2" type="noConversion"/>
  </si>
  <si>
    <t>과목</t>
    <phoneticPr fontId="2" type="noConversion"/>
  </si>
  <si>
    <t>수강료할인율</t>
    <phoneticPr fontId="2" type="noConversion"/>
  </si>
  <si>
    <t>현재강의수</t>
    <phoneticPr fontId="2" type="noConversion"/>
  </si>
  <si>
    <t>수강인원</t>
    <phoneticPr fontId="2" type="noConversion"/>
  </si>
  <si>
    <t>전체강의수</t>
    <phoneticPr fontId="2" type="noConversion"/>
  </si>
  <si>
    <t>비고</t>
    <phoneticPr fontId="2" type="noConversion"/>
  </si>
  <si>
    <t>T001</t>
  </si>
  <si>
    <t>장애진</t>
    <phoneticPr fontId="2" type="noConversion"/>
  </si>
  <si>
    <t>고2</t>
    <phoneticPr fontId="2" type="noConversion"/>
  </si>
  <si>
    <t>T002</t>
  </si>
  <si>
    <t>고3</t>
    <phoneticPr fontId="2" type="noConversion"/>
  </si>
  <si>
    <t>T003</t>
  </si>
  <si>
    <t>국어</t>
    <phoneticPr fontId="2" type="noConversion"/>
  </si>
  <si>
    <t>T004</t>
  </si>
  <si>
    <t>허성현</t>
    <phoneticPr fontId="2" type="noConversion"/>
  </si>
  <si>
    <t>T005</t>
  </si>
  <si>
    <t>과학</t>
    <phoneticPr fontId="2" type="noConversion"/>
  </si>
  <si>
    <t>T006</t>
  </si>
  <si>
    <t>수학</t>
    <phoneticPr fontId="2" type="noConversion"/>
  </si>
  <si>
    <t>T007</t>
  </si>
  <si>
    <t>T008</t>
  </si>
  <si>
    <t>강성민</t>
    <phoneticPr fontId="2" type="noConversion"/>
  </si>
  <si>
    <t>T009</t>
  </si>
  <si>
    <t>T010</t>
  </si>
  <si>
    <t>류승희</t>
    <phoneticPr fontId="2" type="noConversion"/>
  </si>
  <si>
    <t>고1</t>
    <phoneticPr fontId="2" type="noConversion"/>
  </si>
  <si>
    <t>국어</t>
    <phoneticPr fontId="2" type="noConversion"/>
  </si>
  <si>
    <t>T011</t>
  </si>
  <si>
    <t>T012</t>
  </si>
  <si>
    <t>T013</t>
  </si>
  <si>
    <t>T014</t>
  </si>
  <si>
    <t>이나희</t>
    <phoneticPr fontId="2" type="noConversion"/>
  </si>
  <si>
    <t>고3</t>
    <phoneticPr fontId="2" type="noConversion"/>
  </si>
  <si>
    <t>T015</t>
  </si>
  <si>
    <t>나일주</t>
    <phoneticPr fontId="4" type="noConversion"/>
  </si>
  <si>
    <t>T016</t>
  </si>
  <si>
    <t>성민희</t>
    <phoneticPr fontId="2" type="noConversion"/>
  </si>
  <si>
    <t>T017</t>
  </si>
  <si>
    <t>오나래</t>
    <phoneticPr fontId="2" type="noConversion"/>
  </si>
  <si>
    <t>T018</t>
  </si>
  <si>
    <t>류준일</t>
    <phoneticPr fontId="2" type="noConversion"/>
  </si>
  <si>
    <t>T019</t>
  </si>
  <si>
    <t>김주경</t>
    <phoneticPr fontId="2" type="noConversion"/>
  </si>
  <si>
    <t>T020</t>
  </si>
  <si>
    <t>허준희</t>
    <phoneticPr fontId="2" type="noConversion"/>
  </si>
  <si>
    <t>T021</t>
  </si>
  <si>
    <t>김대주</t>
    <phoneticPr fontId="2" type="noConversion"/>
  </si>
  <si>
    <t>T022</t>
  </si>
  <si>
    <t>박영희</t>
    <phoneticPr fontId="2" type="noConversion"/>
  </si>
  <si>
    <t>T023</t>
  </si>
  <si>
    <t>박재민</t>
    <phoneticPr fontId="2" type="noConversion"/>
  </si>
  <si>
    <t>과학</t>
    <phoneticPr fontId="2" type="noConversion"/>
  </si>
  <si>
    <t>T024</t>
  </si>
  <si>
    <t>T025</t>
  </si>
  <si>
    <t>김민모</t>
    <phoneticPr fontId="2" type="noConversion"/>
  </si>
  <si>
    <t>T026</t>
  </si>
  <si>
    <t>박나래</t>
    <phoneticPr fontId="2" type="noConversion"/>
  </si>
  <si>
    <t>T027</t>
  </si>
  <si>
    <t>김덕선</t>
    <phoneticPr fontId="2" type="noConversion"/>
  </si>
  <si>
    <t>T028</t>
  </si>
  <si>
    <t>김대준</t>
    <phoneticPr fontId="2" type="noConversion"/>
  </si>
  <si>
    <t>[표2] 할인율표</t>
    <phoneticPr fontId="2" type="noConversion"/>
  </si>
  <si>
    <t>순위</t>
    <phoneticPr fontId="2" type="noConversion"/>
  </si>
  <si>
    <t>영어</t>
    <phoneticPr fontId="2" type="noConversion"/>
  </si>
  <si>
    <t>연도</t>
    <phoneticPr fontId="2" type="noConversion"/>
  </si>
  <si>
    <t>담당강사</t>
    <phoneticPr fontId="2" type="noConversion"/>
  </si>
  <si>
    <t>강의과목</t>
    <phoneticPr fontId="2" type="noConversion"/>
  </si>
  <si>
    <t>진행률</t>
    <phoneticPr fontId="2" type="noConversion"/>
  </si>
  <si>
    <t>이외</t>
    <phoneticPr fontId="2" type="noConversion"/>
  </si>
  <si>
    <t>[표3] 강의과목별 수강인원 순위</t>
    <phoneticPr fontId="2" type="noConversion"/>
  </si>
  <si>
    <t>(모두)</t>
  </si>
  <si>
    <t>행 레이블</t>
  </si>
  <si>
    <t>총합계</t>
  </si>
  <si>
    <t>합계 : 수강료</t>
  </si>
  <si>
    <t>강사비 지출내역</t>
    <phoneticPr fontId="4" type="noConversion"/>
  </si>
  <si>
    <t>과목명</t>
    <phoneticPr fontId="4" type="noConversion"/>
  </si>
  <si>
    <t>1학년</t>
    <phoneticPr fontId="4" type="noConversion"/>
  </si>
  <si>
    <t>2학년</t>
    <phoneticPr fontId="4" type="noConversion"/>
  </si>
  <si>
    <t>3학년</t>
    <phoneticPr fontId="4" type="noConversion"/>
  </si>
  <si>
    <t>한국사</t>
    <phoneticPr fontId="4" type="noConversion"/>
  </si>
  <si>
    <t>국어</t>
    <phoneticPr fontId="4" type="noConversion"/>
  </si>
  <si>
    <t>수학</t>
    <phoneticPr fontId="4" type="noConversion"/>
  </si>
  <si>
    <t>영어</t>
    <phoneticPr fontId="4" type="noConversion"/>
  </si>
  <si>
    <t>[표1]</t>
    <phoneticPr fontId="4" type="noConversion"/>
  </si>
  <si>
    <t>접수자</t>
    <phoneticPr fontId="4" type="noConversion"/>
  </si>
  <si>
    <t>수강개월</t>
    <phoneticPr fontId="4" type="noConversion"/>
  </si>
  <si>
    <t>접수코드</t>
    <phoneticPr fontId="4" type="noConversion"/>
  </si>
  <si>
    <t>과목강사</t>
    <phoneticPr fontId="4" type="noConversion"/>
  </si>
  <si>
    <t>수강료</t>
    <phoneticPr fontId="4" type="noConversion"/>
  </si>
  <si>
    <t>[참조표]</t>
    <phoneticPr fontId="4" type="noConversion"/>
  </si>
  <si>
    <t>과목</t>
    <phoneticPr fontId="4" type="noConversion"/>
  </si>
  <si>
    <t>과목강사</t>
    <phoneticPr fontId="4" type="noConversion"/>
  </si>
  <si>
    <t>월수강료</t>
    <phoneticPr fontId="4" type="noConversion"/>
  </si>
  <si>
    <t>B100</t>
    <phoneticPr fontId="4" type="noConversion"/>
  </si>
  <si>
    <t>B200</t>
    <phoneticPr fontId="4" type="noConversion"/>
  </si>
  <si>
    <t>C100</t>
    <phoneticPr fontId="4" type="noConversion"/>
  </si>
  <si>
    <t>C200</t>
    <phoneticPr fontId="4" type="noConversion"/>
  </si>
  <si>
    <t>영어</t>
    <phoneticPr fontId="4" type="noConversion"/>
  </si>
  <si>
    <t>수학</t>
    <phoneticPr fontId="2" type="noConversion"/>
  </si>
  <si>
    <t>김대영</t>
    <phoneticPr fontId="2" type="noConversion"/>
  </si>
  <si>
    <t>한국사</t>
    <phoneticPr fontId="4" type="noConversion"/>
  </si>
  <si>
    <t>황준희</t>
    <phoneticPr fontId="2" type="noConversion"/>
  </si>
  <si>
    <t>고영주</t>
    <phoneticPr fontId="4" type="noConversion"/>
  </si>
  <si>
    <t>A200</t>
    <phoneticPr fontId="2" type="noConversion"/>
  </si>
  <si>
    <t>영어</t>
    <phoneticPr fontId="4" type="noConversion"/>
  </si>
  <si>
    <t>A300</t>
    <phoneticPr fontId="2" type="noConversion"/>
  </si>
  <si>
    <t>신하림</t>
    <phoneticPr fontId="4" type="noConversion"/>
  </si>
  <si>
    <t>수학</t>
    <phoneticPr fontId="4" type="noConversion"/>
  </si>
  <si>
    <t>박현정</t>
    <phoneticPr fontId="2" type="noConversion"/>
  </si>
  <si>
    <t>한국사</t>
    <phoneticPr fontId="4" type="noConversion"/>
  </si>
  <si>
    <t>국어</t>
    <phoneticPr fontId="4" type="noConversion"/>
  </si>
  <si>
    <t>D300</t>
    <phoneticPr fontId="4" type="noConversion"/>
  </si>
  <si>
    <t>이명희</t>
    <phoneticPr fontId="4" type="noConversion"/>
  </si>
  <si>
    <t>전진호</t>
    <phoneticPr fontId="2" type="noConversion"/>
  </si>
  <si>
    <t>체육</t>
    <phoneticPr fontId="4" type="noConversion"/>
  </si>
  <si>
    <t>송윤아</t>
    <phoneticPr fontId="2" type="noConversion"/>
  </si>
  <si>
    <t>박혜나</t>
  </si>
  <si>
    <t>1</t>
  </si>
  <si>
    <t>1 요약</t>
  </si>
  <si>
    <t>2 요약</t>
  </si>
  <si>
    <t>3 요약</t>
  </si>
  <si>
    <t>박나희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</si>
</sst>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1" fillId="0" borderId="0" applyFont="0" applyFill="0" applyBorder="0" applyAlignment="0" applyProtection="0">
      <alignment vertical="center"/>
    </xf>
    <xf numFmtId="0" fontId="13" fillId="0" borderId="0"/>
    <xf numFmtId="0" fontId="3" fillId="0" borderId="0"/>
    <xf numFmtId="41" fontId="13" fillId="0" borderId="0" applyFont="0" applyFill="0" applyBorder="0" applyAlignment="0" applyProtection="0"/>
  </cellStyleXfs>
  <cellXfs count="60">
    <xf numFmtId="0" fontId="0" fillId="0" borderId="0" xfId="0">
      <alignment vertical="center"/>
    </xf>
    <xf numFmtId="0" fontId="6" fillId="0" borderId="0" xfId="0" applyFont="1" applyAlignment="1"/>
    <xf numFmtId="0" fontId="7" fillId="2" borderId="1" xfId="2" applyFont="1" applyFill="1" applyBorder="1" applyAlignment="1">
      <alignment horizontal="center"/>
    </xf>
    <xf numFmtId="0" fontId="7" fillId="0" borderId="2" xfId="2" applyFont="1" applyBorder="1" applyAlignment="1">
      <alignment wrapText="1"/>
    </xf>
    <xf numFmtId="0" fontId="7" fillId="0" borderId="2" xfId="2" applyFont="1" applyBorder="1" applyAlignment="1">
      <alignment horizontal="right" wrapText="1"/>
    </xf>
    <xf numFmtId="41" fontId="7" fillId="0" borderId="2" xfId="1" applyFont="1" applyFill="1" applyBorder="1" applyAlignment="1">
      <alignment horizontal="right" wrapText="1"/>
    </xf>
    <xf numFmtId="0" fontId="7" fillId="0" borderId="3" xfId="2" applyFont="1" applyBorder="1" applyAlignment="1">
      <alignment wrapText="1"/>
    </xf>
    <xf numFmtId="0" fontId="7" fillId="0" borderId="3" xfId="2" applyFont="1" applyBorder="1" applyAlignment="1">
      <alignment horizontal="right" wrapText="1"/>
    </xf>
    <xf numFmtId="41" fontId="7" fillId="0" borderId="3" xfId="1" applyFont="1" applyFill="1" applyBorder="1" applyAlignment="1">
      <alignment horizontal="right" wrapText="1"/>
    </xf>
    <xf numFmtId="14" fontId="7" fillId="0" borderId="2" xfId="2" applyNumberFormat="1" applyFont="1" applyBorder="1" applyAlignment="1">
      <alignment horizontal="right" wrapText="1"/>
    </xf>
    <xf numFmtId="41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41" fontId="5" fillId="0" borderId="0" xfId="1" applyFont="1" applyAlignment="1">
      <alignment vertical="center"/>
    </xf>
    <xf numFmtId="0" fontId="5" fillId="0" borderId="0" xfId="0" applyFont="1">
      <alignment vertical="center"/>
    </xf>
    <xf numFmtId="0" fontId="9" fillId="0" borderId="4" xfId="0" applyFont="1" applyBorder="1" applyAlignment="1">
      <alignment horizontal="center" vertical="center"/>
    </xf>
    <xf numFmtId="41" fontId="9" fillId="0" borderId="4" xfId="1" applyFont="1" applyFill="1" applyBorder="1" applyAlignment="1">
      <alignment horizontal="center" vertical="center"/>
    </xf>
    <xf numFmtId="0" fontId="10" fillId="0" borderId="5" xfId="3" applyFont="1" applyBorder="1" applyAlignment="1">
      <alignment horizontal="center" vertical="center" wrapText="1"/>
    </xf>
    <xf numFmtId="41" fontId="10" fillId="0" borderId="5" xfId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14" fillId="0" borderId="5" xfId="5" applyFont="1" applyBorder="1" applyAlignment="1">
      <alignment horizontal="center"/>
    </xf>
    <xf numFmtId="9" fontId="0" fillId="0" borderId="5" xfId="4" applyFont="1" applyBorder="1" applyAlignment="1">
      <alignment horizontal="center" vertical="center"/>
    </xf>
    <xf numFmtId="0" fontId="0" fillId="0" borderId="5" xfId="0" applyBorder="1">
      <alignment vertical="center"/>
    </xf>
    <xf numFmtId="0" fontId="14" fillId="0" borderId="0" xfId="5" applyFont="1" applyAlignment="1">
      <alignment horizontal="center"/>
    </xf>
    <xf numFmtId="9" fontId="0" fillId="0" borderId="5" xfId="0" applyNumberFormat="1" applyBorder="1">
      <alignment vertical="center"/>
    </xf>
    <xf numFmtId="9" fontId="14" fillId="0" borderId="5" xfId="5" applyNumberFormat="1" applyFont="1" applyBorder="1" applyAlignment="1">
      <alignment horizontal="center"/>
    </xf>
    <xf numFmtId="9" fontId="0" fillId="0" borderId="5" xfId="0" applyNumberForma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176" fontId="0" fillId="0" borderId="0" xfId="0" applyNumberFormat="1">
      <alignment vertical="center"/>
    </xf>
    <xf numFmtId="0" fontId="5" fillId="0" borderId="0" xfId="0" applyFont="1" applyAlignment="1"/>
    <xf numFmtId="0" fontId="8" fillId="0" borderId="0" xfId="0" applyFont="1" applyAlignment="1"/>
    <xf numFmtId="0" fontId="9" fillId="4" borderId="5" xfId="0" applyFont="1" applyFill="1" applyBorder="1" applyAlignment="1">
      <alignment horizontal="center"/>
    </xf>
    <xf numFmtId="0" fontId="15" fillId="4" borderId="5" xfId="1" applyNumberFormat="1" applyFont="1" applyFill="1" applyBorder="1" applyAlignment="1">
      <alignment horizontal="center"/>
    </xf>
    <xf numFmtId="0" fontId="10" fillId="0" borderId="5" xfId="6" applyFont="1" applyBorder="1" applyAlignment="1">
      <alignment horizontal="center"/>
    </xf>
    <xf numFmtId="176" fontId="5" fillId="0" borderId="5" xfId="0" applyNumberFormat="1" applyFont="1" applyBorder="1" applyAlignment="1">
      <alignment horizontal="right"/>
    </xf>
    <xf numFmtId="41" fontId="10" fillId="0" borderId="5" xfId="1" applyFont="1" applyFill="1" applyBorder="1" applyAlignment="1">
      <alignment horizontal="right"/>
    </xf>
    <xf numFmtId="0" fontId="8" fillId="0" borderId="0" xfId="5" applyFont="1" applyAlignment="1">
      <alignment vertical="center"/>
    </xf>
    <xf numFmtId="0" fontId="9" fillId="0" borderId="6" xfId="5" applyFont="1" applyBorder="1" applyAlignment="1">
      <alignment vertical="center"/>
    </xf>
    <xf numFmtId="41" fontId="8" fillId="0" borderId="0" xfId="7" applyFont="1" applyAlignment="1">
      <alignment horizontal="center" vertical="center"/>
    </xf>
    <xf numFmtId="0" fontId="8" fillId="0" borderId="0" xfId="5" applyFont="1" applyAlignment="1">
      <alignment horizontal="center" vertical="center"/>
    </xf>
    <xf numFmtId="0" fontId="9" fillId="0" borderId="4" xfId="5" applyFont="1" applyBorder="1" applyAlignment="1">
      <alignment horizontal="center" vertical="center"/>
    </xf>
    <xf numFmtId="41" fontId="9" fillId="0" borderId="4" xfId="7" applyFont="1" applyBorder="1" applyAlignment="1">
      <alignment horizontal="center" vertical="center"/>
    </xf>
    <xf numFmtId="0" fontId="8" fillId="0" borderId="7" xfId="5" applyFont="1" applyBorder="1" applyAlignment="1">
      <alignment horizontal="center" vertical="center"/>
    </xf>
    <xf numFmtId="41" fontId="8" fillId="0" borderId="7" xfId="7" applyFont="1" applyBorder="1" applyAlignment="1">
      <alignment horizontal="center" vertical="center"/>
    </xf>
    <xf numFmtId="0" fontId="8" fillId="0" borderId="5" xfId="5" applyFont="1" applyBorder="1" applyAlignment="1">
      <alignment horizontal="center" vertical="center"/>
    </xf>
    <xf numFmtId="41" fontId="8" fillId="0" borderId="5" xfId="7" applyFont="1" applyBorder="1" applyAlignment="1">
      <alignment horizontal="center" vertical="center"/>
    </xf>
    <xf numFmtId="0" fontId="9" fillId="0" borderId="0" xfId="5" applyFont="1" applyAlignment="1">
      <alignment horizontal="center" vertical="center"/>
    </xf>
    <xf numFmtId="0" fontId="8" fillId="0" borderId="8" xfId="5" applyFont="1" applyBorder="1" applyAlignment="1">
      <alignment horizontal="center" vertical="center"/>
    </xf>
    <xf numFmtId="41" fontId="8" fillId="0" borderId="8" xfId="7" applyFont="1" applyBorder="1" applyAlignment="1">
      <alignment horizontal="center" vertical="center"/>
    </xf>
    <xf numFmtId="41" fontId="8" fillId="0" borderId="0" xfId="7" applyFont="1" applyBorder="1" applyAlignment="1">
      <alignment horizontal="center" vertical="center"/>
    </xf>
    <xf numFmtId="0" fontId="9" fillId="0" borderId="5" xfId="5" applyFont="1" applyBorder="1" applyAlignment="1">
      <alignment horizontal="center" vertical="center"/>
    </xf>
    <xf numFmtId="41" fontId="9" fillId="0" borderId="5" xfId="7" applyFont="1" applyBorder="1" applyAlignment="1">
      <alignment horizontal="center" vertical="center"/>
    </xf>
    <xf numFmtId="41" fontId="8" fillId="0" borderId="5" xfId="7" applyFont="1" applyBorder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8">
    <cellStyle name="백분율" xfId="4" builtinId="5"/>
    <cellStyle name="쉼표 [0]" xfId="1" builtinId="6"/>
    <cellStyle name="쉼표 [0] 2" xfId="7" xr:uid="{00000000-0005-0000-0000-000002000000}"/>
    <cellStyle name="표준" xfId="0" builtinId="0"/>
    <cellStyle name="표준 2" xfId="5" xr:uid="{00000000-0005-0000-0000-000004000000}"/>
    <cellStyle name="표준_Sheet1" xfId="2" xr:uid="{00000000-0005-0000-0000-000005000000}"/>
    <cellStyle name="표준_건물임대" xfId="6" xr:uid="{00000000-0005-0000-0000-000006000000}"/>
    <cellStyle name="표준_급여계산" xfId="3" xr:uid="{00000000-0005-0000-0000-000007000000}"/>
  </cellStyles>
  <dxfs count="4">
    <dxf>
      <font>
        <color rgb="FF9C0006"/>
      </font>
    </dxf>
    <dxf>
      <fill>
        <patternFill patternType="solid">
          <fgColor rgb="FF9C0006"/>
          <bgColor rgb="FFFFFFFF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수강료 납부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'기본작업-2'!$G$4</c:f>
              <c:strCache>
                <c:ptCount val="1"/>
                <c:pt idx="0">
                  <c:v>수강료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'기본작업-2'!$B$5:$C$15</c:f>
              <c:multiLvlStrCache>
                <c:ptCount val="11"/>
                <c:lvl>
                  <c:pt idx="0">
                    <c:v>신원빈</c:v>
                  </c:pt>
                  <c:pt idx="1">
                    <c:v>김준하</c:v>
                  </c:pt>
                  <c:pt idx="2">
                    <c:v>박준형</c:v>
                  </c:pt>
                  <c:pt idx="3">
                    <c:v>김경진</c:v>
                  </c:pt>
                  <c:pt idx="4">
                    <c:v>최민혁</c:v>
                  </c:pt>
                  <c:pt idx="5">
                    <c:v>장지애</c:v>
                  </c:pt>
                  <c:pt idx="6">
                    <c:v>손유종</c:v>
                  </c:pt>
                  <c:pt idx="7">
                    <c:v>정윤호</c:v>
                  </c:pt>
                  <c:pt idx="8">
                    <c:v>주민기</c:v>
                  </c:pt>
                  <c:pt idx="9">
                    <c:v>김현빈</c:v>
                  </c:pt>
                  <c:pt idx="10">
                    <c:v>이유주</c:v>
                  </c:pt>
                </c:lvl>
                <c:lvl>
                  <c:pt idx="0">
                    <c:v>2020-06-09</c:v>
                  </c:pt>
                  <c:pt idx="1">
                    <c:v>2020-06-17</c:v>
                  </c:pt>
                  <c:pt idx="2">
                    <c:v>2020-06-24</c:v>
                  </c:pt>
                  <c:pt idx="3">
                    <c:v>2020-06-12</c:v>
                  </c:pt>
                  <c:pt idx="4">
                    <c:v>2020-06-14</c:v>
                  </c:pt>
                  <c:pt idx="5">
                    <c:v>2020-06-15</c:v>
                  </c:pt>
                  <c:pt idx="6">
                    <c:v>2020-06-29</c:v>
                  </c:pt>
                  <c:pt idx="7">
                    <c:v>2020-07-17</c:v>
                  </c:pt>
                  <c:pt idx="8">
                    <c:v>2020-07-18</c:v>
                  </c:pt>
                  <c:pt idx="9">
                    <c:v>2020-07-03</c:v>
                  </c:pt>
                  <c:pt idx="10">
                    <c:v>2020-07-13</c:v>
                  </c:pt>
                </c:lvl>
              </c:multiLvlStrCache>
            </c:multiLvlStrRef>
          </c:cat>
          <c:val>
            <c:numRef>
              <c:f>'기본작업-2'!$G$5:$G$15</c:f>
              <c:numCache>
                <c:formatCode>_(* #,##0_);_(* \(#,##0\);_(* "-"_);_(@_)</c:formatCode>
                <c:ptCount val="11"/>
                <c:pt idx="0">
                  <c:v>190000</c:v>
                </c:pt>
                <c:pt idx="1">
                  <c:v>220000</c:v>
                </c:pt>
                <c:pt idx="2">
                  <c:v>230000</c:v>
                </c:pt>
                <c:pt idx="3">
                  <c:v>230000</c:v>
                </c:pt>
                <c:pt idx="4">
                  <c:v>230000</c:v>
                </c:pt>
                <c:pt idx="5">
                  <c:v>230000</c:v>
                </c:pt>
                <c:pt idx="6">
                  <c:v>230000</c:v>
                </c:pt>
                <c:pt idx="7">
                  <c:v>210000</c:v>
                </c:pt>
                <c:pt idx="8">
                  <c:v>210000</c:v>
                </c:pt>
                <c:pt idx="9">
                  <c:v>200000</c:v>
                </c:pt>
                <c:pt idx="10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C-4051-8FDE-58B5E770E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5895759"/>
        <c:axId val="1965176047"/>
      </c:barChart>
      <c:catAx>
        <c:axId val="1805895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5176047"/>
        <c:crosses val="autoZero"/>
        <c:auto val="1"/>
        <c:lblAlgn val="ctr"/>
        <c:lblOffset val="100"/>
        <c:noMultiLvlLbl val="0"/>
      </c:catAx>
      <c:valAx>
        <c:axId val="196517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5895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2000" b="1"/>
              <a:t>강사비 지출내역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1학년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'기타작업-1'!$B$4:$B$7</c:f>
              <c:strCache>
                <c:ptCount val="4"/>
                <c:pt idx="0">
                  <c:v>한국사</c:v>
                </c:pt>
                <c:pt idx="1">
                  <c:v>국어</c:v>
                </c:pt>
                <c:pt idx="2">
                  <c:v>수학</c:v>
                </c:pt>
                <c:pt idx="3">
                  <c:v>영어</c:v>
                </c:pt>
              </c:strCache>
            </c:strRef>
          </c:cat>
          <c:val>
            <c:numRef>
              <c:f>'기타작업-1'!$C$4:$C$7</c:f>
              <c:numCache>
                <c:formatCode>#,##0_ </c:formatCode>
                <c:ptCount val="4"/>
                <c:pt idx="0">
                  <c:v>270000</c:v>
                </c:pt>
                <c:pt idx="1">
                  <c:v>360000</c:v>
                </c:pt>
                <c:pt idx="2">
                  <c:v>200000</c:v>
                </c:pt>
                <c:pt idx="3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2-407B-9E0C-79386304DEE2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2학년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'기타작업-1'!$B$4:$B$7</c:f>
              <c:strCache>
                <c:ptCount val="4"/>
                <c:pt idx="0">
                  <c:v>한국사</c:v>
                </c:pt>
                <c:pt idx="1">
                  <c:v>국어</c:v>
                </c:pt>
                <c:pt idx="2">
                  <c:v>수학</c:v>
                </c:pt>
                <c:pt idx="3">
                  <c:v>영어</c:v>
                </c:pt>
              </c:strCache>
            </c:strRef>
          </c:cat>
          <c:val>
            <c:numRef>
              <c:f>'기타작업-1'!$D$4:$D$7</c:f>
              <c:numCache>
                <c:formatCode>#,##0_ </c:formatCode>
                <c:ptCount val="4"/>
                <c:pt idx="0">
                  <c:v>200000</c:v>
                </c:pt>
                <c:pt idx="1">
                  <c:v>100000</c:v>
                </c:pt>
                <c:pt idx="2" formatCode="_(* #,##0_);_(* \(#,##0\);_(* &quot;-&quot;_);_(@_)">
                  <c:v>0</c:v>
                </c:pt>
                <c:pt idx="3">
                  <c:v>440000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2-407B-9E0C-79386304DEE2}"/>
            </c:ext>
          </c:extLst>
        </c:ser>
        <c:ser>
          <c:idx val="2"/>
          <c:order val="2"/>
          <c:tx>
            <c:strRef>
              <c:f>'기타작업-1'!$E$3</c:f>
              <c:strCache>
                <c:ptCount val="1"/>
                <c:pt idx="0">
                  <c:v>3학년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'기타작업-1'!$B$4:$B$7</c:f>
              <c:strCache>
                <c:ptCount val="4"/>
                <c:pt idx="0">
                  <c:v>한국사</c:v>
                </c:pt>
                <c:pt idx="1">
                  <c:v>국어</c:v>
                </c:pt>
                <c:pt idx="2">
                  <c:v>수학</c:v>
                </c:pt>
                <c:pt idx="3">
                  <c:v>영어</c:v>
                </c:pt>
              </c:strCache>
            </c:strRef>
          </c:cat>
          <c:val>
            <c:numRef>
              <c:f>'기타작업-1'!$E$4:$E$7</c:f>
              <c:numCache>
                <c:formatCode>#,##0_ </c:formatCode>
                <c:ptCount val="4"/>
                <c:pt idx="0">
                  <c:v>220000</c:v>
                </c:pt>
                <c:pt idx="1">
                  <c:v>440000</c:v>
                </c:pt>
                <c:pt idx="2">
                  <c:v>120000</c:v>
                </c:pt>
                <c:pt idx="3">
                  <c:v>480000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02-407B-9E0C-79386304D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8134896"/>
        <c:axId val="508131568"/>
      </c:barChart>
      <c:catAx>
        <c:axId val="508134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과목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8131568"/>
        <c:crosses val="autoZero"/>
        <c:auto val="1"/>
        <c:lblAlgn val="ctr"/>
        <c:lblOffset val="100"/>
        <c:noMultiLvlLbl val="0"/>
      </c:catAx>
      <c:valAx>
        <c:axId val="50813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813489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차트1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</xdr:colOff>
      <xdr:row>3</xdr:row>
      <xdr:rowOff>7620</xdr:rowOff>
    </xdr:from>
    <xdr:to>
      <xdr:col>15</xdr:col>
      <xdr:colOff>556260</xdr:colOff>
      <xdr:row>15</xdr:row>
      <xdr:rowOff>99060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최고급여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최고급여취소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219075</xdr:rowOff>
        </xdr:from>
        <xdr:to>
          <xdr:col>8</xdr:col>
          <xdr:colOff>381000</xdr:colOff>
          <xdr:row>2</xdr:row>
          <xdr:rowOff>104775</xdr:rowOff>
        </xdr:to>
        <xdr:sp macro="" textlink="">
          <xdr:nvSpPr>
            <xdr:cNvPr id="8193" name="cmd수강등록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남오" refreshedDate="44059.648070833333" createdVersion="6" refreshedVersion="6" minRefreshableVersion="3" recordCount="46" xr:uid="{00000000-000A-0000-FFFF-FFFF00000000}">
  <cacheSource type="external" connectionId="1"/>
  <cacheFields count="8">
    <cacheField name="접수번호" numFmtId="0" sqlType="8">
      <sharedItems containsSemiMixedTypes="0" containsString="0" containsNumber="1" containsInteger="1" minValue="1" maxValue="46"/>
    </cacheField>
    <cacheField name="접수코드" numFmtId="0" sqlType="-9">
      <sharedItems count="16">
        <s v="C100"/>
        <s v="C300"/>
        <s v="A300"/>
        <s v="A200"/>
        <s v="C200"/>
        <s v="D300"/>
        <s v="D100"/>
        <s v="B100"/>
        <s v="D200"/>
        <s v="B300"/>
        <s v="A100"/>
        <s v="F300"/>
        <s v="E100"/>
        <s v="F100"/>
        <s v="F200"/>
        <s v="G100"/>
      </sharedItems>
    </cacheField>
    <cacheField name="등록일자" numFmtId="0" sqlType="11">
      <sharedItems containsSemiMixedTypes="0" containsNonDate="0" containsDate="1" containsString="0" minDate="2020-06-01T00:00:00" maxDate="2020-08-01T00:00:00"/>
    </cacheField>
    <cacheField name="이름" numFmtId="0" sqlType="-9">
      <sharedItems/>
    </cacheField>
    <cacheField name="학년" numFmtId="0" sqlType="8">
      <sharedItems containsSemiMixedTypes="0" containsString="0" containsNumber="1" containsInteger="1" minValue="1" maxValue="3" count="3">
        <n v="1"/>
        <n v="3"/>
        <n v="2"/>
      </sharedItems>
    </cacheField>
    <cacheField name="과목" numFmtId="0" sqlType="-9">
      <sharedItems count="9">
        <s v="한국사"/>
        <s v="영어"/>
        <s v="국어"/>
        <s v="수학"/>
        <s v="물리2"/>
        <s v="미술"/>
        <s v="미술 "/>
        <s v="물리1"/>
        <s v="체육"/>
      </sharedItems>
    </cacheField>
    <cacheField name="담당강사" numFmtId="0" sqlType="-9">
      <sharedItems count="15">
        <s v="황준희"/>
        <s v="이서진"/>
        <s v="신하림"/>
        <s v="이나균"/>
        <s v="고영주"/>
        <s v="이명희"/>
        <s v="박나희"/>
        <s v="김대영"/>
        <s v="김종훈"/>
        <s v="안정진"/>
        <s v="이정진"/>
        <s v="전진호"/>
        <s v="박나림"/>
        <s v="김미라"/>
        <s v="송윤아"/>
      </sharedItems>
    </cacheField>
    <cacheField name="수강료" numFmtId="0" sqlType="8">
      <sharedItems containsSemiMixedTypes="0" containsString="0" containsNumber="1" containsInteger="1" minValue="200000" maxValue="230000" count="4">
        <n v="200000"/>
        <n v="220000"/>
        <n v="230000"/>
        <n v="21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">
  <r>
    <n v="1"/>
    <x v="0"/>
    <d v="2020-06-01T00:00:00"/>
    <s v="김종유"/>
    <x v="0"/>
    <x v="0"/>
    <x v="0"/>
    <x v="0"/>
  </r>
  <r>
    <n v="2"/>
    <x v="1"/>
    <d v="2020-06-02T00:00:00"/>
    <s v="유정수"/>
    <x v="1"/>
    <x v="0"/>
    <x v="1"/>
    <x v="1"/>
  </r>
  <r>
    <n v="3"/>
    <x v="2"/>
    <d v="2020-06-03T00:00:00"/>
    <s v="윤태경"/>
    <x v="1"/>
    <x v="1"/>
    <x v="2"/>
    <x v="2"/>
  </r>
  <r>
    <n v="4"/>
    <x v="3"/>
    <d v="2020-06-04T00:00:00"/>
    <s v="이재겸"/>
    <x v="2"/>
    <x v="1"/>
    <x v="3"/>
    <x v="1"/>
  </r>
  <r>
    <n v="5"/>
    <x v="1"/>
    <d v="2020-06-05T00:00:00"/>
    <s v="박재민"/>
    <x v="1"/>
    <x v="0"/>
    <x v="1"/>
    <x v="1"/>
  </r>
  <r>
    <n v="6"/>
    <x v="2"/>
    <d v="2020-06-06T00:00:00"/>
    <s v="김청"/>
    <x v="1"/>
    <x v="1"/>
    <x v="2"/>
    <x v="2"/>
  </r>
  <r>
    <n v="7"/>
    <x v="0"/>
    <d v="2020-06-07T00:00:00"/>
    <s v="박정"/>
    <x v="0"/>
    <x v="0"/>
    <x v="0"/>
    <x v="0"/>
  </r>
  <r>
    <n v="8"/>
    <x v="2"/>
    <d v="2020-06-08T00:00:00"/>
    <s v="유병재"/>
    <x v="1"/>
    <x v="1"/>
    <x v="2"/>
    <x v="2"/>
  </r>
  <r>
    <n v="9"/>
    <x v="4"/>
    <d v="2020-06-09T00:00:00"/>
    <s v="신원빈"/>
    <x v="2"/>
    <x v="0"/>
    <x v="4"/>
    <x v="3"/>
  </r>
  <r>
    <n v="10"/>
    <x v="5"/>
    <d v="2020-06-10T00:00:00"/>
    <s v="김민아"/>
    <x v="1"/>
    <x v="2"/>
    <x v="5"/>
    <x v="1"/>
  </r>
  <r>
    <n v="11"/>
    <x v="3"/>
    <d v="2020-06-11T00:00:00"/>
    <s v="여현지"/>
    <x v="2"/>
    <x v="1"/>
    <x v="3"/>
    <x v="1"/>
  </r>
  <r>
    <n v="12"/>
    <x v="6"/>
    <d v="2020-06-12T00:00:00"/>
    <s v="김경진"/>
    <x v="0"/>
    <x v="2"/>
    <x v="6"/>
    <x v="0"/>
  </r>
  <r>
    <n v="13"/>
    <x v="3"/>
    <d v="2020-06-13T00:00:00"/>
    <s v="손양희"/>
    <x v="2"/>
    <x v="1"/>
    <x v="3"/>
    <x v="1"/>
  </r>
  <r>
    <n v="14"/>
    <x v="6"/>
    <d v="2020-06-14T00:00:00"/>
    <s v="최민혁"/>
    <x v="0"/>
    <x v="2"/>
    <x v="6"/>
    <x v="0"/>
  </r>
  <r>
    <n v="15"/>
    <x v="6"/>
    <d v="2020-06-15T00:00:00"/>
    <s v="장지애"/>
    <x v="0"/>
    <x v="2"/>
    <x v="6"/>
    <x v="0"/>
  </r>
  <r>
    <n v="16"/>
    <x v="5"/>
    <d v="2020-06-16T00:00:00"/>
    <s v="김명준"/>
    <x v="1"/>
    <x v="2"/>
    <x v="5"/>
    <x v="1"/>
  </r>
  <r>
    <n v="17"/>
    <x v="7"/>
    <d v="2020-06-17T00:00:00"/>
    <s v="김준하"/>
    <x v="0"/>
    <x v="3"/>
    <x v="7"/>
    <x v="3"/>
  </r>
  <r>
    <n v="18"/>
    <x v="4"/>
    <d v="2020-06-18T00:00:00"/>
    <s v="김성수"/>
    <x v="2"/>
    <x v="0"/>
    <x v="4"/>
    <x v="3"/>
  </r>
  <r>
    <n v="19"/>
    <x v="0"/>
    <d v="2020-06-19T00:00:00"/>
    <s v="이우성"/>
    <x v="0"/>
    <x v="0"/>
    <x v="0"/>
    <x v="0"/>
  </r>
  <r>
    <n v="20"/>
    <x v="5"/>
    <d v="2020-06-20T00:00:00"/>
    <s v="서의훈"/>
    <x v="1"/>
    <x v="2"/>
    <x v="5"/>
    <x v="1"/>
  </r>
  <r>
    <n v="21"/>
    <x v="0"/>
    <d v="2020-06-21T00:00:00"/>
    <s v="이하랑"/>
    <x v="0"/>
    <x v="0"/>
    <x v="0"/>
    <x v="0"/>
  </r>
  <r>
    <n v="22"/>
    <x v="8"/>
    <d v="2020-06-22T00:00:00"/>
    <s v="김지헌"/>
    <x v="2"/>
    <x v="2"/>
    <x v="8"/>
    <x v="3"/>
  </r>
  <r>
    <n v="23"/>
    <x v="0"/>
    <d v="2020-06-23T00:00:00"/>
    <s v="김현우"/>
    <x v="0"/>
    <x v="0"/>
    <x v="0"/>
    <x v="0"/>
  </r>
  <r>
    <n v="24"/>
    <x v="7"/>
    <d v="2020-06-24T00:00:00"/>
    <s v="박준형"/>
    <x v="0"/>
    <x v="3"/>
    <x v="7"/>
    <x v="3"/>
  </r>
  <r>
    <n v="25"/>
    <x v="9"/>
    <d v="2020-06-25T00:00:00"/>
    <s v="김장현"/>
    <x v="1"/>
    <x v="3"/>
    <x v="9"/>
    <x v="2"/>
  </r>
  <r>
    <n v="26"/>
    <x v="4"/>
    <d v="2020-06-26T00:00:00"/>
    <s v="이정우"/>
    <x v="2"/>
    <x v="0"/>
    <x v="4"/>
    <x v="3"/>
  </r>
  <r>
    <n v="27"/>
    <x v="2"/>
    <d v="2020-06-27T00:00:00"/>
    <s v="김소영"/>
    <x v="1"/>
    <x v="1"/>
    <x v="2"/>
    <x v="2"/>
  </r>
  <r>
    <n v="28"/>
    <x v="10"/>
    <d v="2020-06-28T00:00:00"/>
    <s v="민서준"/>
    <x v="0"/>
    <x v="1"/>
    <x v="10"/>
    <x v="3"/>
  </r>
  <r>
    <n v="29"/>
    <x v="6"/>
    <d v="2020-06-29T00:00:00"/>
    <s v="손유종"/>
    <x v="0"/>
    <x v="2"/>
    <x v="6"/>
    <x v="0"/>
  </r>
  <r>
    <n v="30"/>
    <x v="5"/>
    <d v="2020-06-30T00:00:00"/>
    <s v="연창현"/>
    <x v="1"/>
    <x v="2"/>
    <x v="5"/>
    <x v="1"/>
  </r>
  <r>
    <n v="31"/>
    <x v="11"/>
    <d v="2020-07-31T00:00:00"/>
    <s v="김정민"/>
    <x v="2"/>
    <x v="4"/>
    <x v="11"/>
    <x v="3"/>
  </r>
  <r>
    <n v="32"/>
    <x v="11"/>
    <d v="2020-07-19T00:00:00"/>
    <s v="이건희"/>
    <x v="2"/>
    <x v="4"/>
    <x v="11"/>
    <x v="3"/>
  </r>
  <r>
    <n v="33"/>
    <x v="12"/>
    <d v="2020-07-20T00:00:00"/>
    <s v="이수희"/>
    <x v="1"/>
    <x v="5"/>
    <x v="12"/>
    <x v="2"/>
  </r>
  <r>
    <n v="34"/>
    <x v="12"/>
    <d v="2020-07-20T00:00:00"/>
    <s v="안수홍"/>
    <x v="1"/>
    <x v="5"/>
    <x v="12"/>
    <x v="2"/>
  </r>
  <r>
    <n v="35"/>
    <x v="12"/>
    <d v="2020-07-20T00:00:00"/>
    <s v="인상운"/>
    <x v="1"/>
    <x v="6"/>
    <x v="12"/>
    <x v="2"/>
  </r>
  <r>
    <n v="36"/>
    <x v="13"/>
    <d v="2020-07-22T00:00:00"/>
    <s v="송용권"/>
    <x v="2"/>
    <x v="7"/>
    <x v="13"/>
    <x v="3"/>
  </r>
  <r>
    <n v="37"/>
    <x v="14"/>
    <d v="2020-07-23T00:00:00"/>
    <s v="정송훈"/>
    <x v="2"/>
    <x v="4"/>
    <x v="11"/>
    <x v="3"/>
  </r>
  <r>
    <n v="38"/>
    <x v="15"/>
    <d v="2020-07-17T00:00:00"/>
    <s v="정윤호"/>
    <x v="0"/>
    <x v="8"/>
    <x v="14"/>
    <x v="0"/>
  </r>
  <r>
    <n v="39"/>
    <x v="15"/>
    <d v="2020-07-18T00:00:00"/>
    <s v="주민기"/>
    <x v="0"/>
    <x v="8"/>
    <x v="14"/>
    <x v="0"/>
  </r>
  <r>
    <n v="40"/>
    <x v="12"/>
    <d v="2020-07-20T00:00:00"/>
    <s v="김동현"/>
    <x v="1"/>
    <x v="5"/>
    <x v="12"/>
    <x v="2"/>
  </r>
  <r>
    <n v="41"/>
    <x v="15"/>
    <d v="2020-07-03T00:00:00"/>
    <s v="김현빈"/>
    <x v="0"/>
    <x v="8"/>
    <x v="14"/>
    <x v="0"/>
  </r>
  <r>
    <n v="42"/>
    <x v="15"/>
    <d v="2020-07-13T00:00:00"/>
    <s v="이유주"/>
    <x v="0"/>
    <x v="8"/>
    <x v="14"/>
    <x v="0"/>
  </r>
  <r>
    <n v="43"/>
    <x v="14"/>
    <d v="2020-07-25T00:00:00"/>
    <s v="김자인"/>
    <x v="2"/>
    <x v="4"/>
    <x v="11"/>
    <x v="3"/>
  </r>
  <r>
    <n v="44"/>
    <x v="15"/>
    <d v="2020-07-14T00:00:00"/>
    <s v="노상빈"/>
    <x v="0"/>
    <x v="8"/>
    <x v="14"/>
    <x v="0"/>
  </r>
  <r>
    <n v="45"/>
    <x v="15"/>
    <d v="2020-07-15T00:00:00"/>
    <s v="허사빈"/>
    <x v="2"/>
    <x v="8"/>
    <x v="14"/>
    <x v="3"/>
  </r>
  <r>
    <n v="46"/>
    <x v="15"/>
    <d v="2020-07-16T00:00:00"/>
    <s v="김병관"/>
    <x v="0"/>
    <x v="8"/>
    <x v="1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fieldListSortAscending="1">
  <location ref="B3:C27" firstHeaderRow="1" firstDataRow="1" firstDataCol="1" rowPageCount="1" colPageCount="1"/>
  <pivotFields count="8">
    <pivotField subtotalTop="0" showAll="0"/>
    <pivotField subtotalTop="0" showAll="0"/>
    <pivotField subtotalTop="0" showAll="0"/>
    <pivotField subtotalTop="0" showAll="0"/>
    <pivotField axis="axisRow" subtotalTop="0" showAll="0">
      <items count="4">
        <item x="0"/>
        <item x="2"/>
        <item x="1"/>
        <item t="default"/>
      </items>
    </pivotField>
    <pivotField axis="axisRow" subtotalTop="0" showAll="0">
      <items count="10">
        <item x="2"/>
        <item x="7"/>
        <item x="4"/>
        <item x="5"/>
        <item x="6"/>
        <item x="3"/>
        <item x="1"/>
        <item x="8"/>
        <item x="0"/>
        <item t="default"/>
      </items>
    </pivotField>
    <pivotField axis="axisPage" subtotalTop="0" showAll="0">
      <items count="16">
        <item x="4"/>
        <item x="7"/>
        <item x="13"/>
        <item x="8"/>
        <item x="12"/>
        <item x="6"/>
        <item x="14"/>
        <item x="2"/>
        <item x="9"/>
        <item x="3"/>
        <item x="5"/>
        <item x="1"/>
        <item x="10"/>
        <item x="11"/>
        <item x="0"/>
        <item t="default"/>
      </items>
    </pivotField>
    <pivotField dataField="1" subtotalTop="0" showAll="0"/>
  </pivotFields>
  <rowFields count="2">
    <field x="4"/>
    <field x="5"/>
  </rowFields>
  <rowItems count="24">
    <i>
      <x/>
    </i>
    <i r="1">
      <x/>
    </i>
    <i r="1">
      <x v="5"/>
    </i>
    <i r="1">
      <x v="6"/>
    </i>
    <i r="1">
      <x v="7"/>
    </i>
    <i r="1">
      <x v="8"/>
    </i>
    <i t="default">
      <x/>
    </i>
    <i>
      <x v="1"/>
    </i>
    <i r="1">
      <x/>
    </i>
    <i r="1">
      <x v="1"/>
    </i>
    <i r="1">
      <x v="2"/>
    </i>
    <i r="1">
      <x v="6"/>
    </i>
    <i r="1">
      <x v="7"/>
    </i>
    <i r="1">
      <x v="8"/>
    </i>
    <i t="default">
      <x v="1"/>
    </i>
    <i>
      <x v="2"/>
    </i>
    <i r="1">
      <x/>
    </i>
    <i r="1">
      <x v="3"/>
    </i>
    <i r="1">
      <x v="4"/>
    </i>
    <i r="1">
      <x v="5"/>
    </i>
    <i r="1">
      <x v="6"/>
    </i>
    <i r="1">
      <x v="8"/>
    </i>
    <i t="default">
      <x v="2"/>
    </i>
    <i t="grand">
      <x/>
    </i>
  </rowItems>
  <colItems count="1">
    <i/>
  </colItems>
  <pageFields count="1">
    <pageField fld="6" hier="-1"/>
  </pageFields>
  <dataFields count="1">
    <dataField name="합계 : 수강료" fld="7" baseField="4" baseItem="0" numFmtId="176"/>
  </dataFields>
  <pivotTableStyleInfo name="PivotStyleMedium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27"/>
  <sheetViews>
    <sheetView workbookViewId="0"/>
  </sheetViews>
  <sheetFormatPr defaultRowHeight="16.5"/>
  <cols>
    <col min="2" max="2" width="12.5" bestFit="1" customWidth="1"/>
    <col min="4" max="4" width="8.875" bestFit="1" customWidth="1"/>
    <col min="7" max="7" width="10.25" bestFit="1" customWidth="1"/>
    <col min="8" max="8" width="8.875" bestFit="1" customWidth="1"/>
    <col min="14" max="14" width="9.25" bestFit="1" customWidth="1"/>
  </cols>
  <sheetData>
    <row r="1" spans="1: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15">
      <c r="A2" s="3" t="s">
        <v>8</v>
      </c>
      <c r="B2" s="9">
        <v>43991</v>
      </c>
      <c r="C2" s="3" t="s">
        <v>28</v>
      </c>
      <c r="D2" s="4">
        <v>2</v>
      </c>
      <c r="E2" s="3" t="s">
        <v>9</v>
      </c>
      <c r="F2" s="3" t="s">
        <v>71</v>
      </c>
      <c r="G2" s="5">
        <v>190000</v>
      </c>
      <c r="H2" s="1">
        <v>7</v>
      </c>
      <c r="K2" t="s">
        <v>100</v>
      </c>
      <c r="N2" s="10"/>
      <c r="O2" s="10"/>
    </row>
    <row r="3" spans="1:15">
      <c r="A3" s="3" t="s">
        <v>8</v>
      </c>
      <c r="B3" s="9">
        <v>43999</v>
      </c>
      <c r="C3" s="3" t="s">
        <v>32</v>
      </c>
      <c r="D3" s="4">
        <v>2</v>
      </c>
      <c r="E3" s="3" t="s">
        <v>9</v>
      </c>
      <c r="F3" s="3" t="s">
        <v>72</v>
      </c>
      <c r="G3" s="5">
        <v>220000</v>
      </c>
      <c r="H3" s="1">
        <v>7</v>
      </c>
      <c r="K3" t="b">
        <f>AND(AVERAGE($G$2:$G$27)&gt;G2,AVERAGE($H$2:$H$27)&lt;H2)</f>
        <v>1</v>
      </c>
    </row>
    <row r="4" spans="1:15">
      <c r="A4" s="3" t="s">
        <v>10</v>
      </c>
      <c r="B4" s="9">
        <v>44006</v>
      </c>
      <c r="C4" s="3" t="s">
        <v>34</v>
      </c>
      <c r="D4" s="4">
        <v>3</v>
      </c>
      <c r="E4" s="3" t="s">
        <v>9</v>
      </c>
      <c r="F4" s="3" t="s">
        <v>73</v>
      </c>
      <c r="G4" s="5">
        <v>230000</v>
      </c>
      <c r="H4" s="1">
        <v>12</v>
      </c>
    </row>
    <row r="5" spans="1:15">
      <c r="A5" s="3" t="s">
        <v>10</v>
      </c>
      <c r="B5" s="9">
        <v>43994</v>
      </c>
      <c r="C5" s="3" t="s">
        <v>41</v>
      </c>
      <c r="D5" s="4">
        <v>3</v>
      </c>
      <c r="E5" s="3" t="s">
        <v>9</v>
      </c>
      <c r="F5" s="3" t="s">
        <v>74</v>
      </c>
      <c r="G5" s="5">
        <v>230000</v>
      </c>
      <c r="H5" s="1">
        <v>1</v>
      </c>
    </row>
    <row r="6" spans="1:15">
      <c r="A6" s="3" t="s">
        <v>10</v>
      </c>
      <c r="B6" s="9">
        <v>43996</v>
      </c>
      <c r="C6" s="3" t="s">
        <v>42</v>
      </c>
      <c r="D6" s="4">
        <v>3</v>
      </c>
      <c r="E6" s="3" t="s">
        <v>9</v>
      </c>
      <c r="F6" s="3" t="s">
        <v>74</v>
      </c>
      <c r="G6" s="5">
        <v>230000</v>
      </c>
      <c r="H6" s="1">
        <v>1</v>
      </c>
    </row>
    <row r="7" spans="1:15">
      <c r="A7" s="3" t="s">
        <v>10</v>
      </c>
      <c r="B7" s="9">
        <v>43997</v>
      </c>
      <c r="C7" s="3" t="s">
        <v>43</v>
      </c>
      <c r="D7" s="4">
        <v>3</v>
      </c>
      <c r="E7" s="3" t="s">
        <v>9</v>
      </c>
      <c r="F7" s="3" t="s">
        <v>74</v>
      </c>
      <c r="G7" s="5">
        <v>230000</v>
      </c>
      <c r="H7" s="1">
        <v>12</v>
      </c>
      <c r="K7" s="2" t="s">
        <v>2</v>
      </c>
      <c r="L7" s="2" t="s">
        <v>3</v>
      </c>
      <c r="M7" s="2" t="s">
        <v>4</v>
      </c>
      <c r="N7" s="2" t="s">
        <v>5</v>
      </c>
    </row>
    <row r="8" spans="1:15">
      <c r="A8" s="3" t="s">
        <v>10</v>
      </c>
      <c r="B8" s="9">
        <v>44011</v>
      </c>
      <c r="C8" s="3" t="s">
        <v>44</v>
      </c>
      <c r="D8" s="4">
        <v>3</v>
      </c>
      <c r="E8" s="3" t="s">
        <v>9</v>
      </c>
      <c r="F8" s="3" t="s">
        <v>74</v>
      </c>
      <c r="G8" s="5">
        <v>230000</v>
      </c>
      <c r="H8" s="1">
        <v>1</v>
      </c>
      <c r="K8" s="3" t="s">
        <v>28</v>
      </c>
      <c r="L8" s="4">
        <v>2</v>
      </c>
      <c r="M8" s="3" t="s">
        <v>9</v>
      </c>
      <c r="N8" s="3" t="s">
        <v>71</v>
      </c>
    </row>
    <row r="9" spans="1:15">
      <c r="A9" s="3" t="s">
        <v>11</v>
      </c>
      <c r="B9" s="9">
        <v>44029</v>
      </c>
      <c r="C9" s="3" t="s">
        <v>45</v>
      </c>
      <c r="D9" s="4">
        <v>1</v>
      </c>
      <c r="E9" s="3" t="s">
        <v>12</v>
      </c>
      <c r="F9" s="3" t="s">
        <v>75</v>
      </c>
      <c r="G9" s="5">
        <v>210000</v>
      </c>
      <c r="H9" s="1">
        <v>9</v>
      </c>
      <c r="K9" s="3" t="s">
        <v>45</v>
      </c>
      <c r="L9" s="4">
        <v>1</v>
      </c>
      <c r="M9" s="3" t="s">
        <v>12</v>
      </c>
      <c r="N9" s="3" t="s">
        <v>75</v>
      </c>
    </row>
    <row r="10" spans="1:15">
      <c r="A10" s="3" t="s">
        <v>11</v>
      </c>
      <c r="B10" s="9">
        <v>44030</v>
      </c>
      <c r="C10" s="3" t="s">
        <v>48</v>
      </c>
      <c r="D10" s="4">
        <v>1</v>
      </c>
      <c r="E10" s="3" t="s">
        <v>12</v>
      </c>
      <c r="F10" s="3" t="s">
        <v>76</v>
      </c>
      <c r="G10" s="5">
        <v>210000</v>
      </c>
      <c r="H10" s="1">
        <v>1</v>
      </c>
      <c r="K10" s="3" t="s">
        <v>67</v>
      </c>
      <c r="L10" s="4">
        <v>2</v>
      </c>
      <c r="M10" s="3" t="s">
        <v>79</v>
      </c>
      <c r="N10" s="3" t="s">
        <v>85</v>
      </c>
    </row>
    <row r="11" spans="1:15">
      <c r="A11" s="6" t="s">
        <v>13</v>
      </c>
      <c r="B11" s="9">
        <v>44015</v>
      </c>
      <c r="C11" s="6" t="s">
        <v>49</v>
      </c>
      <c r="D11" s="7">
        <v>1</v>
      </c>
      <c r="E11" s="6" t="s">
        <v>78</v>
      </c>
      <c r="F11" s="6" t="s">
        <v>81</v>
      </c>
      <c r="G11" s="8">
        <v>200000</v>
      </c>
      <c r="H11" s="1">
        <v>3</v>
      </c>
      <c r="K11" s="3" t="s">
        <v>35</v>
      </c>
      <c r="L11" s="4">
        <v>2</v>
      </c>
      <c r="M11" s="3" t="s">
        <v>19</v>
      </c>
      <c r="N11" s="3" t="s">
        <v>90</v>
      </c>
    </row>
    <row r="12" spans="1:15">
      <c r="A12" s="6" t="s">
        <v>13</v>
      </c>
      <c r="B12" s="9">
        <v>44025</v>
      </c>
      <c r="C12" s="6" t="s">
        <v>50</v>
      </c>
      <c r="D12" s="7">
        <v>1</v>
      </c>
      <c r="E12" s="6" t="s">
        <v>79</v>
      </c>
      <c r="F12" s="6" t="s">
        <v>82</v>
      </c>
      <c r="G12" s="8">
        <v>200000</v>
      </c>
      <c r="H12" s="1">
        <v>1</v>
      </c>
      <c r="K12" s="3" t="s">
        <v>56</v>
      </c>
      <c r="L12" s="4">
        <v>2</v>
      </c>
      <c r="M12" s="3" t="s">
        <v>25</v>
      </c>
      <c r="N12" s="3" t="s">
        <v>92</v>
      </c>
    </row>
    <row r="13" spans="1:15">
      <c r="A13" s="6" t="s">
        <v>13</v>
      </c>
      <c r="B13" s="9">
        <v>44026</v>
      </c>
      <c r="C13" s="6" t="s">
        <v>51</v>
      </c>
      <c r="D13" s="7">
        <v>1</v>
      </c>
      <c r="E13" s="6" t="s">
        <v>80</v>
      </c>
      <c r="F13" s="6" t="s">
        <v>83</v>
      </c>
      <c r="G13" s="8">
        <v>200000</v>
      </c>
      <c r="H13" s="1">
        <v>1</v>
      </c>
      <c r="K13" s="3" t="s">
        <v>58</v>
      </c>
      <c r="L13" s="4">
        <v>1</v>
      </c>
      <c r="M13" s="3" t="s">
        <v>27</v>
      </c>
      <c r="N13" s="3" t="s">
        <v>92</v>
      </c>
    </row>
    <row r="14" spans="1:15">
      <c r="A14" s="6" t="s">
        <v>13</v>
      </c>
      <c r="B14" s="9">
        <v>44028</v>
      </c>
      <c r="C14" s="6" t="s">
        <v>53</v>
      </c>
      <c r="D14" s="7">
        <v>1</v>
      </c>
      <c r="E14" s="6" t="s">
        <v>79</v>
      </c>
      <c r="F14" s="6" t="s">
        <v>84</v>
      </c>
      <c r="G14" s="8">
        <v>200000</v>
      </c>
      <c r="H14" s="1">
        <v>3</v>
      </c>
    </row>
    <row r="15" spans="1:15">
      <c r="A15" s="6" t="s">
        <v>13</v>
      </c>
      <c r="B15" s="9">
        <v>44010</v>
      </c>
      <c r="C15" s="6" t="s">
        <v>61</v>
      </c>
      <c r="D15" s="7">
        <v>1</v>
      </c>
      <c r="E15" s="6" t="s">
        <v>80</v>
      </c>
      <c r="F15" s="6" t="s">
        <v>84</v>
      </c>
      <c r="G15" s="8">
        <v>200000</v>
      </c>
      <c r="H15" s="1">
        <v>2</v>
      </c>
    </row>
    <row r="16" spans="1:15">
      <c r="A16" s="3" t="s">
        <v>14</v>
      </c>
      <c r="B16" s="9">
        <v>43983</v>
      </c>
      <c r="C16" s="3" t="s">
        <v>65</v>
      </c>
      <c r="D16" s="4">
        <v>2</v>
      </c>
      <c r="E16" s="3" t="s">
        <v>79</v>
      </c>
      <c r="F16" s="3" t="s">
        <v>85</v>
      </c>
      <c r="G16" s="5">
        <v>210000</v>
      </c>
      <c r="H16" s="1">
        <v>1</v>
      </c>
    </row>
    <row r="17" spans="1:8">
      <c r="A17" s="3" t="s">
        <v>14</v>
      </c>
      <c r="B17" s="9">
        <v>43989</v>
      </c>
      <c r="C17" s="3" t="s">
        <v>67</v>
      </c>
      <c r="D17" s="4">
        <v>2</v>
      </c>
      <c r="E17" s="3" t="s">
        <v>79</v>
      </c>
      <c r="F17" s="3" t="s">
        <v>85</v>
      </c>
      <c r="G17" s="5">
        <v>210000</v>
      </c>
      <c r="H17" s="1">
        <v>6</v>
      </c>
    </row>
    <row r="18" spans="1:8">
      <c r="A18" s="3" t="s">
        <v>15</v>
      </c>
      <c r="B18" s="9">
        <v>44001</v>
      </c>
      <c r="C18" s="3" t="s">
        <v>68</v>
      </c>
      <c r="D18" s="4">
        <v>3</v>
      </c>
      <c r="E18" s="3" t="s">
        <v>79</v>
      </c>
      <c r="F18" s="3" t="s">
        <v>86</v>
      </c>
      <c r="G18" s="5">
        <v>220000</v>
      </c>
      <c r="H18" s="1">
        <v>5</v>
      </c>
    </row>
    <row r="19" spans="1:8">
      <c r="A19" s="3" t="s">
        <v>15</v>
      </c>
      <c r="B19" s="9">
        <v>44003</v>
      </c>
      <c r="C19" s="3" t="s">
        <v>69</v>
      </c>
      <c r="D19" s="4">
        <v>3</v>
      </c>
      <c r="E19" s="3" t="s">
        <v>80</v>
      </c>
      <c r="F19" s="3" t="s">
        <v>87</v>
      </c>
      <c r="G19" s="5">
        <v>220000</v>
      </c>
      <c r="H19" s="1">
        <v>5</v>
      </c>
    </row>
    <row r="20" spans="1:8">
      <c r="A20" s="3" t="s">
        <v>15</v>
      </c>
      <c r="B20" s="9">
        <v>44005</v>
      </c>
      <c r="C20" s="3" t="s">
        <v>70</v>
      </c>
      <c r="D20" s="4">
        <v>3</v>
      </c>
      <c r="E20" s="3" t="s">
        <v>80</v>
      </c>
      <c r="F20" s="3" t="s">
        <v>88</v>
      </c>
      <c r="G20" s="5">
        <v>220000</v>
      </c>
      <c r="H20" s="1">
        <v>5</v>
      </c>
    </row>
    <row r="21" spans="1:8">
      <c r="A21" s="3" t="s">
        <v>15</v>
      </c>
      <c r="B21" s="9">
        <v>44000</v>
      </c>
      <c r="C21" s="3" t="s">
        <v>30</v>
      </c>
      <c r="D21" s="4">
        <v>3</v>
      </c>
      <c r="E21" s="3" t="s">
        <v>80</v>
      </c>
      <c r="F21" s="3" t="s">
        <v>88</v>
      </c>
      <c r="G21" s="5">
        <v>220000</v>
      </c>
      <c r="H21" s="1">
        <v>5</v>
      </c>
    </row>
    <row r="22" spans="1:8">
      <c r="A22" s="3" t="s">
        <v>16</v>
      </c>
      <c r="B22" s="9">
        <v>44008</v>
      </c>
      <c r="C22" s="3" t="s">
        <v>31</v>
      </c>
      <c r="D22" s="4">
        <v>3</v>
      </c>
      <c r="E22" s="3" t="s">
        <v>17</v>
      </c>
      <c r="F22" s="3" t="s">
        <v>89</v>
      </c>
      <c r="G22" s="5">
        <v>220000</v>
      </c>
      <c r="H22" s="1">
        <v>14</v>
      </c>
    </row>
    <row r="23" spans="1:8">
      <c r="A23" s="3" t="s">
        <v>18</v>
      </c>
      <c r="B23" s="9">
        <v>44034</v>
      </c>
      <c r="C23" s="3" t="s">
        <v>35</v>
      </c>
      <c r="D23" s="4">
        <v>2</v>
      </c>
      <c r="E23" s="3" t="s">
        <v>19</v>
      </c>
      <c r="F23" s="3" t="s">
        <v>90</v>
      </c>
      <c r="G23" s="5">
        <v>210000</v>
      </c>
      <c r="H23" s="1">
        <v>5</v>
      </c>
    </row>
    <row r="24" spans="1:8">
      <c r="A24" s="3" t="s">
        <v>20</v>
      </c>
      <c r="B24" s="9">
        <v>44004</v>
      </c>
      <c r="C24" s="3" t="s">
        <v>37</v>
      </c>
      <c r="D24" s="4">
        <v>1</v>
      </c>
      <c r="E24" s="3" t="s">
        <v>21</v>
      </c>
      <c r="F24" s="3" t="s">
        <v>91</v>
      </c>
      <c r="G24" s="5">
        <v>200000</v>
      </c>
      <c r="H24" s="1">
        <v>3</v>
      </c>
    </row>
    <row r="25" spans="1:8">
      <c r="A25" s="3" t="s">
        <v>22</v>
      </c>
      <c r="B25" s="9">
        <v>44027</v>
      </c>
      <c r="C25" s="3" t="s">
        <v>52</v>
      </c>
      <c r="D25" s="4">
        <v>3</v>
      </c>
      <c r="E25" s="3" t="s">
        <v>23</v>
      </c>
      <c r="F25" s="3" t="s">
        <v>92</v>
      </c>
      <c r="G25" s="5">
        <v>280000</v>
      </c>
      <c r="H25" s="1">
        <v>4</v>
      </c>
    </row>
    <row r="26" spans="1:8">
      <c r="A26" s="3" t="s">
        <v>24</v>
      </c>
      <c r="B26" s="9">
        <v>43986</v>
      </c>
      <c r="C26" s="3" t="s">
        <v>56</v>
      </c>
      <c r="D26" s="4">
        <v>2</v>
      </c>
      <c r="E26" s="3" t="s">
        <v>25</v>
      </c>
      <c r="F26" s="3" t="s">
        <v>92</v>
      </c>
      <c r="G26" s="5">
        <v>210000</v>
      </c>
      <c r="H26" s="1">
        <v>5</v>
      </c>
    </row>
    <row r="27" spans="1:8">
      <c r="A27" s="3" t="s">
        <v>26</v>
      </c>
      <c r="B27" s="9">
        <v>43993</v>
      </c>
      <c r="C27" s="3" t="s">
        <v>58</v>
      </c>
      <c r="D27" s="4">
        <v>1</v>
      </c>
      <c r="E27" s="3" t="s">
        <v>27</v>
      </c>
      <c r="F27" s="3" t="s">
        <v>92</v>
      </c>
      <c r="G27" s="5">
        <v>200000</v>
      </c>
      <c r="H27" s="1">
        <v>8</v>
      </c>
    </row>
  </sheetData>
  <phoneticPr fontId="2" type="noConversion"/>
  <conditionalFormatting sqref="A2:H27">
    <cfRule type="expression" dxfId="3" priority="1">
      <formula>OR(ISODD(MONTH($B2)),MOD(ROW(),3)=0)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H30"/>
  <sheetViews>
    <sheetView topLeftCell="A4" workbookViewId="0">
      <selection activeCell="B38" sqref="B38"/>
    </sheetView>
  </sheetViews>
  <sheetFormatPr defaultRowHeight="16.5"/>
  <cols>
    <col min="2" max="2" width="10.875" bestFit="1" customWidth="1"/>
  </cols>
  <sheetData>
    <row r="2" spans="1:8" ht="20.25">
      <c r="A2" s="58" t="s">
        <v>101</v>
      </c>
      <c r="B2" s="59"/>
      <c r="C2" s="59"/>
      <c r="D2" s="59"/>
      <c r="E2" s="59"/>
      <c r="F2" s="59"/>
      <c r="G2" s="59"/>
      <c r="H2" s="59"/>
    </row>
    <row r="4" spans="1:8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  <c r="H4" s="2" t="s">
        <v>102</v>
      </c>
    </row>
    <row r="5" spans="1:8">
      <c r="A5" s="3" t="s">
        <v>8</v>
      </c>
      <c r="B5" s="9">
        <v>43991</v>
      </c>
      <c r="C5" s="3" t="s">
        <v>28</v>
      </c>
      <c r="D5" s="4">
        <v>2</v>
      </c>
      <c r="E5" s="3" t="s">
        <v>9</v>
      </c>
      <c r="F5" s="3" t="s">
        <v>103</v>
      </c>
      <c r="G5" s="5">
        <v>190000</v>
      </c>
      <c r="H5" s="1">
        <v>7</v>
      </c>
    </row>
    <row r="6" spans="1:8">
      <c r="A6" s="3" t="s">
        <v>8</v>
      </c>
      <c r="B6" s="9">
        <v>43999</v>
      </c>
      <c r="C6" s="3" t="s">
        <v>32</v>
      </c>
      <c r="D6" s="4">
        <v>2</v>
      </c>
      <c r="E6" s="3" t="s">
        <v>9</v>
      </c>
      <c r="F6" s="3" t="s">
        <v>103</v>
      </c>
      <c r="G6" s="5">
        <v>220000</v>
      </c>
      <c r="H6" s="1">
        <v>7</v>
      </c>
    </row>
    <row r="7" spans="1:8">
      <c r="A7" s="3" t="s">
        <v>10</v>
      </c>
      <c r="B7" s="9">
        <v>44006</v>
      </c>
      <c r="C7" s="3" t="s">
        <v>34</v>
      </c>
      <c r="D7" s="4">
        <v>3</v>
      </c>
      <c r="E7" s="3" t="s">
        <v>9</v>
      </c>
      <c r="F7" s="3" t="s">
        <v>104</v>
      </c>
      <c r="G7" s="5">
        <v>230000</v>
      </c>
      <c r="H7" s="1">
        <v>12</v>
      </c>
    </row>
    <row r="8" spans="1:8">
      <c r="A8" s="3" t="s">
        <v>10</v>
      </c>
      <c r="B8" s="9">
        <v>43994</v>
      </c>
      <c r="C8" s="3" t="s">
        <v>41</v>
      </c>
      <c r="D8" s="4">
        <v>3</v>
      </c>
      <c r="E8" s="3" t="s">
        <v>9</v>
      </c>
      <c r="F8" s="3" t="s">
        <v>104</v>
      </c>
      <c r="G8" s="5">
        <v>230000</v>
      </c>
      <c r="H8" s="1">
        <v>1</v>
      </c>
    </row>
    <row r="9" spans="1:8">
      <c r="A9" s="3" t="s">
        <v>10</v>
      </c>
      <c r="B9" s="9">
        <v>43996</v>
      </c>
      <c r="C9" s="3" t="s">
        <v>42</v>
      </c>
      <c r="D9" s="4">
        <v>3</v>
      </c>
      <c r="E9" s="3" t="s">
        <v>9</v>
      </c>
      <c r="F9" s="3" t="s">
        <v>104</v>
      </c>
      <c r="G9" s="5">
        <v>230000</v>
      </c>
      <c r="H9" s="1">
        <v>1</v>
      </c>
    </row>
    <row r="10" spans="1:8">
      <c r="A10" s="3" t="s">
        <v>10</v>
      </c>
      <c r="B10" s="9">
        <v>43997</v>
      </c>
      <c r="C10" s="3" t="s">
        <v>43</v>
      </c>
      <c r="D10" s="4">
        <v>3</v>
      </c>
      <c r="E10" s="3" t="s">
        <v>9</v>
      </c>
      <c r="F10" s="3" t="s">
        <v>105</v>
      </c>
      <c r="G10" s="5">
        <v>230000</v>
      </c>
      <c r="H10" s="1">
        <v>12</v>
      </c>
    </row>
    <row r="11" spans="1:8">
      <c r="A11" s="3" t="s">
        <v>10</v>
      </c>
      <c r="B11" s="9">
        <v>44011</v>
      </c>
      <c r="C11" s="3" t="s">
        <v>44</v>
      </c>
      <c r="D11" s="4">
        <v>3</v>
      </c>
      <c r="E11" s="3" t="s">
        <v>9</v>
      </c>
      <c r="F11" s="3" t="s">
        <v>105</v>
      </c>
      <c r="G11" s="5">
        <v>230000</v>
      </c>
      <c r="H11" s="1">
        <v>1</v>
      </c>
    </row>
    <row r="12" spans="1:8">
      <c r="A12" s="3" t="s">
        <v>11</v>
      </c>
      <c r="B12" s="9">
        <v>44029</v>
      </c>
      <c r="C12" s="3" t="s">
        <v>45</v>
      </c>
      <c r="D12" s="4">
        <v>1</v>
      </c>
      <c r="E12" s="3" t="s">
        <v>12</v>
      </c>
      <c r="F12" s="3" t="s">
        <v>106</v>
      </c>
      <c r="G12" s="5">
        <v>210000</v>
      </c>
      <c r="H12" s="1">
        <v>9</v>
      </c>
    </row>
    <row r="13" spans="1:8">
      <c r="A13" s="3" t="s">
        <v>11</v>
      </c>
      <c r="B13" s="9">
        <v>44030</v>
      </c>
      <c r="C13" s="3" t="s">
        <v>48</v>
      </c>
      <c r="D13" s="4">
        <v>1</v>
      </c>
      <c r="E13" s="3" t="s">
        <v>12</v>
      </c>
      <c r="F13" s="3" t="s">
        <v>106</v>
      </c>
      <c r="G13" s="5">
        <v>210000</v>
      </c>
      <c r="H13" s="1">
        <v>1</v>
      </c>
    </row>
    <row r="14" spans="1:8">
      <c r="A14" s="6" t="s">
        <v>13</v>
      </c>
      <c r="B14" s="9">
        <v>44015</v>
      </c>
      <c r="C14" s="6" t="s">
        <v>49</v>
      </c>
      <c r="D14" s="7">
        <v>1</v>
      </c>
      <c r="E14" s="6" t="s">
        <v>107</v>
      </c>
      <c r="F14" s="6" t="s">
        <v>108</v>
      </c>
      <c r="G14" s="8">
        <v>200000</v>
      </c>
      <c r="H14" s="1">
        <v>3</v>
      </c>
    </row>
    <row r="15" spans="1:8">
      <c r="A15" s="6" t="s">
        <v>13</v>
      </c>
      <c r="B15" s="9">
        <v>44025</v>
      </c>
      <c r="C15" s="6" t="s">
        <v>50</v>
      </c>
      <c r="D15" s="7">
        <v>1</v>
      </c>
      <c r="E15" s="6" t="s">
        <v>107</v>
      </c>
      <c r="F15" s="6" t="s">
        <v>81</v>
      </c>
      <c r="G15" s="8">
        <v>200000</v>
      </c>
      <c r="H15" s="1">
        <v>1</v>
      </c>
    </row>
    <row r="16" spans="1:8">
      <c r="A16" s="6" t="s">
        <v>13</v>
      </c>
      <c r="B16" s="9">
        <v>44026</v>
      </c>
      <c r="C16" s="6" t="s">
        <v>51</v>
      </c>
      <c r="D16" s="7">
        <v>1</v>
      </c>
      <c r="E16" s="6" t="s">
        <v>109</v>
      </c>
      <c r="F16" s="6" t="s">
        <v>110</v>
      </c>
      <c r="G16" s="8">
        <v>200000</v>
      </c>
      <c r="H16" s="1">
        <v>1</v>
      </c>
    </row>
    <row r="17" spans="1:8">
      <c r="A17" s="6" t="s">
        <v>13</v>
      </c>
      <c r="B17" s="9">
        <v>44028</v>
      </c>
      <c r="C17" s="6" t="s">
        <v>53</v>
      </c>
      <c r="D17" s="7">
        <v>1</v>
      </c>
      <c r="E17" s="6" t="s">
        <v>109</v>
      </c>
      <c r="F17" s="6" t="s">
        <v>110</v>
      </c>
      <c r="G17" s="8">
        <v>200000</v>
      </c>
      <c r="H17" s="1">
        <v>3</v>
      </c>
    </row>
    <row r="18" spans="1:8">
      <c r="A18" s="6" t="s">
        <v>13</v>
      </c>
      <c r="B18" s="9">
        <v>44010</v>
      </c>
      <c r="C18" s="6" t="s">
        <v>61</v>
      </c>
      <c r="D18" s="7">
        <v>1</v>
      </c>
      <c r="E18" s="6" t="s">
        <v>109</v>
      </c>
      <c r="F18" s="6" t="s">
        <v>110</v>
      </c>
      <c r="G18" s="8">
        <v>200000</v>
      </c>
      <c r="H18" s="1">
        <v>2</v>
      </c>
    </row>
    <row r="19" spans="1:8">
      <c r="A19" s="3" t="s">
        <v>14</v>
      </c>
      <c r="B19" s="9">
        <v>43983</v>
      </c>
      <c r="C19" s="3" t="s">
        <v>65</v>
      </c>
      <c r="D19" s="4">
        <v>2</v>
      </c>
      <c r="E19" s="3" t="s">
        <v>109</v>
      </c>
      <c r="F19" s="3" t="s">
        <v>111</v>
      </c>
      <c r="G19" s="5">
        <v>210000</v>
      </c>
      <c r="H19" s="1">
        <v>1</v>
      </c>
    </row>
    <row r="20" spans="1:8">
      <c r="A20" s="3" t="s">
        <v>14</v>
      </c>
      <c r="B20" s="9">
        <v>43989</v>
      </c>
      <c r="C20" s="3" t="s">
        <v>67</v>
      </c>
      <c r="D20" s="4">
        <v>2</v>
      </c>
      <c r="E20" s="3" t="s">
        <v>109</v>
      </c>
      <c r="F20" s="3" t="s">
        <v>111</v>
      </c>
      <c r="G20" s="5">
        <v>210000</v>
      </c>
      <c r="H20" s="1">
        <v>6</v>
      </c>
    </row>
    <row r="21" spans="1:8">
      <c r="A21" s="3" t="s">
        <v>15</v>
      </c>
      <c r="B21" s="9">
        <v>44001</v>
      </c>
      <c r="C21" s="3" t="s">
        <v>68</v>
      </c>
      <c r="D21" s="4">
        <v>3</v>
      </c>
      <c r="E21" s="3" t="s">
        <v>109</v>
      </c>
      <c r="F21" s="3" t="s">
        <v>112</v>
      </c>
      <c r="G21" s="5">
        <v>220000</v>
      </c>
      <c r="H21" s="1">
        <v>5</v>
      </c>
    </row>
    <row r="22" spans="1:8">
      <c r="A22" s="3" t="s">
        <v>15</v>
      </c>
      <c r="B22" s="9">
        <v>44003</v>
      </c>
      <c r="C22" s="3" t="s">
        <v>69</v>
      </c>
      <c r="D22" s="4">
        <v>3</v>
      </c>
      <c r="E22" s="3" t="s">
        <v>109</v>
      </c>
      <c r="F22" s="3" t="s">
        <v>112</v>
      </c>
      <c r="G22" s="5">
        <v>220000</v>
      </c>
      <c r="H22" s="1">
        <v>5</v>
      </c>
    </row>
    <row r="23" spans="1:8">
      <c r="A23" s="3" t="s">
        <v>15</v>
      </c>
      <c r="B23" s="9">
        <v>44005</v>
      </c>
      <c r="C23" s="3" t="s">
        <v>70</v>
      </c>
      <c r="D23" s="4">
        <v>3</v>
      </c>
      <c r="E23" s="3" t="s">
        <v>107</v>
      </c>
      <c r="F23" s="3" t="s">
        <v>113</v>
      </c>
      <c r="G23" s="5">
        <v>220000</v>
      </c>
      <c r="H23" s="1">
        <v>5</v>
      </c>
    </row>
    <row r="24" spans="1:8">
      <c r="A24" s="3" t="s">
        <v>15</v>
      </c>
      <c r="B24" s="9">
        <v>44000</v>
      </c>
      <c r="C24" s="3" t="s">
        <v>30</v>
      </c>
      <c r="D24" s="4">
        <v>3</v>
      </c>
      <c r="E24" s="3" t="s">
        <v>107</v>
      </c>
      <c r="F24" s="3" t="s">
        <v>112</v>
      </c>
      <c r="G24" s="5">
        <v>220000</v>
      </c>
      <c r="H24" s="1">
        <v>5</v>
      </c>
    </row>
    <row r="25" spans="1:8">
      <c r="A25" s="3" t="s">
        <v>16</v>
      </c>
      <c r="B25" s="9">
        <v>44008</v>
      </c>
      <c r="C25" s="3" t="s">
        <v>31</v>
      </c>
      <c r="D25" s="4">
        <v>3</v>
      </c>
      <c r="E25" s="3" t="s">
        <v>17</v>
      </c>
      <c r="F25" s="3" t="s">
        <v>114</v>
      </c>
      <c r="G25" s="5">
        <v>220000</v>
      </c>
      <c r="H25" s="1">
        <v>14</v>
      </c>
    </row>
    <row r="26" spans="1:8">
      <c r="A26" s="3" t="s">
        <v>115</v>
      </c>
      <c r="B26" s="9">
        <v>44034</v>
      </c>
      <c r="C26" s="3" t="s">
        <v>35</v>
      </c>
      <c r="D26" s="4">
        <v>2</v>
      </c>
      <c r="E26" s="3" t="s">
        <v>116</v>
      </c>
      <c r="F26" s="3" t="s">
        <v>117</v>
      </c>
      <c r="G26" s="5">
        <v>210000</v>
      </c>
      <c r="H26" s="1">
        <v>5</v>
      </c>
    </row>
    <row r="27" spans="1:8">
      <c r="A27" s="3" t="s">
        <v>118</v>
      </c>
      <c r="B27" s="9">
        <v>44004</v>
      </c>
      <c r="C27" s="3" t="s">
        <v>37</v>
      </c>
      <c r="D27" s="4">
        <v>1</v>
      </c>
      <c r="E27" s="3" t="s">
        <v>119</v>
      </c>
      <c r="F27" s="3" t="s">
        <v>120</v>
      </c>
      <c r="G27" s="5">
        <v>200000</v>
      </c>
      <c r="H27" s="1">
        <v>3</v>
      </c>
    </row>
    <row r="28" spans="1:8">
      <c r="A28" s="3" t="s">
        <v>118</v>
      </c>
      <c r="B28" s="9">
        <v>44027</v>
      </c>
      <c r="C28" s="3" t="s">
        <v>52</v>
      </c>
      <c r="D28" s="4">
        <v>3</v>
      </c>
      <c r="E28" s="3" t="s">
        <v>119</v>
      </c>
      <c r="F28" s="3" t="s">
        <v>121</v>
      </c>
      <c r="G28" s="5">
        <v>280000</v>
      </c>
      <c r="H28" s="1">
        <v>4</v>
      </c>
    </row>
    <row r="29" spans="1:8">
      <c r="A29" s="3" t="s">
        <v>122</v>
      </c>
      <c r="B29" s="9">
        <v>43986</v>
      </c>
      <c r="C29" s="3" t="s">
        <v>56</v>
      </c>
      <c r="D29" s="4">
        <v>2</v>
      </c>
      <c r="E29" s="3" t="s">
        <v>123</v>
      </c>
      <c r="F29" s="3" t="s">
        <v>121</v>
      </c>
      <c r="G29" s="5">
        <v>210000</v>
      </c>
      <c r="H29" s="1">
        <v>5</v>
      </c>
    </row>
    <row r="30" spans="1:8">
      <c r="A30" s="3" t="s">
        <v>118</v>
      </c>
      <c r="B30" s="9">
        <v>43993</v>
      </c>
      <c r="C30" s="3" t="s">
        <v>58</v>
      </c>
      <c r="D30" s="4">
        <v>1</v>
      </c>
      <c r="E30" s="3" t="s">
        <v>123</v>
      </c>
      <c r="F30" s="3" t="s">
        <v>120</v>
      </c>
      <c r="G30" s="5">
        <v>200000</v>
      </c>
      <c r="H30" s="1">
        <v>8</v>
      </c>
    </row>
  </sheetData>
  <sheetProtection sheet="1" objects="1" scenarios="1" sort="0"/>
  <mergeCells count="1">
    <mergeCell ref="A2:H2"/>
  </mergeCells>
  <phoneticPr fontId="2" type="noConversion"/>
  <conditionalFormatting sqref="A5:H30">
    <cfRule type="expression" dxfId="2" priority="1" stopIfTrue="1">
      <formula>MOD(MONTH($C5),2)=1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M38"/>
  <sheetViews>
    <sheetView workbookViewId="0">
      <selection activeCell="H4" sqref="H4"/>
    </sheetView>
  </sheetViews>
  <sheetFormatPr defaultRowHeight="16.5"/>
  <cols>
    <col min="1" max="1" width="2.5" customWidth="1"/>
    <col min="8" max="8" width="12.375" bestFit="1" customWidth="1"/>
    <col min="9" max="9" width="10.375" bestFit="1" customWidth="1"/>
    <col min="10" max="10" width="8.625" bestFit="1" customWidth="1"/>
    <col min="11" max="11" width="10.375" bestFit="1" customWidth="1"/>
    <col min="12" max="12" width="32.5" bestFit="1" customWidth="1"/>
  </cols>
  <sheetData>
    <row r="2" spans="2:13">
      <c r="B2" t="s">
        <v>124</v>
      </c>
    </row>
    <row r="3" spans="2:13">
      <c r="B3" s="19" t="s">
        <v>125</v>
      </c>
      <c r="C3" s="20" t="s">
        <v>126</v>
      </c>
      <c r="D3" s="19" t="s">
        <v>192</v>
      </c>
      <c r="E3" s="19" t="s">
        <v>193</v>
      </c>
      <c r="F3" s="19" t="s">
        <v>127</v>
      </c>
      <c r="G3" s="19" t="s">
        <v>194</v>
      </c>
      <c r="H3" s="20" t="s">
        <v>129</v>
      </c>
      <c r="I3" s="19" t="s">
        <v>130</v>
      </c>
      <c r="J3" s="19" t="s">
        <v>131</v>
      </c>
      <c r="K3" s="19" t="s">
        <v>132</v>
      </c>
      <c r="L3" s="20" t="s">
        <v>195</v>
      </c>
      <c r="M3" s="20" t="s">
        <v>133</v>
      </c>
    </row>
    <row r="4" spans="2:13">
      <c r="B4" s="19" t="s">
        <v>134</v>
      </c>
      <c r="C4" s="21" t="str">
        <f>REPLACE(B4,2,0,"-"&amp;RIGHT(D4,2)&amp;"-")</f>
        <v>T-19-001</v>
      </c>
      <c r="D4" s="21">
        <v>2019</v>
      </c>
      <c r="E4" s="22" t="s">
        <v>135</v>
      </c>
      <c r="F4" s="19" t="s">
        <v>136</v>
      </c>
      <c r="G4" s="19" t="s">
        <v>9</v>
      </c>
      <c r="H4" s="23">
        <f>HLOOKUP(F4,$C$34:$E$36,MATCH(G4,$B$35:$B$36,-1)+1)</f>
        <v>0.1</v>
      </c>
      <c r="I4" s="24">
        <v>5</v>
      </c>
      <c r="J4" s="24">
        <v>200</v>
      </c>
      <c r="K4" s="24">
        <v>7</v>
      </c>
      <c r="L4" s="24" t="str">
        <f>IFERROR(REPT("◆",(I4/K4)*10)&amp;TEXT(I4/K4,"0.0%"),"신규강의")</f>
        <v>◆◆◆◆◆◆◆71.4%</v>
      </c>
      <c r="M4" s="24" t="str" cm="1">
        <f t="array" ref="M4">fn비고(I4,J4)</f>
        <v>추가강좌</v>
      </c>
    </row>
    <row r="5" spans="2:13">
      <c r="B5" s="19" t="s">
        <v>137</v>
      </c>
      <c r="C5" s="21" t="str">
        <f t="shared" ref="C5:C31" si="0">REPLACE(B5,2,0,"-"&amp;RIGHT(D5,2)&amp;"-")</f>
        <v>T-19-002</v>
      </c>
      <c r="D5" s="19">
        <v>2019</v>
      </c>
      <c r="E5" s="22" t="s">
        <v>59</v>
      </c>
      <c r="F5" s="19" t="s">
        <v>138</v>
      </c>
      <c r="G5" s="19" t="s">
        <v>17</v>
      </c>
      <c r="H5" s="23">
        <f t="shared" ref="H5:H31" si="1">HLOOKUP(F5,$C$34:$E$36,MATCH(G5,$B$35:$B$36,-1)+1)</f>
        <v>0.1</v>
      </c>
      <c r="I5" s="24">
        <v>4</v>
      </c>
      <c r="J5" s="24">
        <v>53</v>
      </c>
      <c r="K5" s="24">
        <v>5</v>
      </c>
      <c r="L5" s="24" t="str">
        <f t="shared" ref="L5:L31" si="2">IFERROR(REPT("◆",(I5/K5)*10)&amp;TEXT(I5/K5,"0.0%"),"신규강의")</f>
        <v>◆◆◆◆◆◆◆◆80.0%</v>
      </c>
      <c r="M5" s="24" t="str" cm="1">
        <f t="array" ref="M5">fn비고(I5,J5)</f>
        <v>강좌폐강</v>
      </c>
    </row>
    <row r="6" spans="2:13">
      <c r="B6" s="19" t="s">
        <v>139</v>
      </c>
      <c r="C6" s="21" t="str">
        <f t="shared" si="0"/>
        <v>T-19-003</v>
      </c>
      <c r="D6" s="19">
        <v>2019</v>
      </c>
      <c r="E6" s="19" t="s">
        <v>47</v>
      </c>
      <c r="F6" s="19" t="s">
        <v>138</v>
      </c>
      <c r="G6" s="19" t="s">
        <v>140</v>
      </c>
      <c r="H6" s="23">
        <f t="shared" si="1"/>
        <v>0.1</v>
      </c>
      <c r="I6" s="24">
        <v>2</v>
      </c>
      <c r="J6" s="24">
        <v>33</v>
      </c>
      <c r="K6" s="24">
        <v>5</v>
      </c>
      <c r="L6" s="24" t="str">
        <f t="shared" si="2"/>
        <v>◆◆◆◆40.0%</v>
      </c>
      <c r="M6" s="24" t="str" cm="1">
        <f t="array" ref="M6">fn비고(I6,J6)</f>
        <v/>
      </c>
    </row>
    <row r="7" spans="2:13">
      <c r="B7" s="19" t="s">
        <v>141</v>
      </c>
      <c r="C7" s="21" t="str">
        <f t="shared" si="0"/>
        <v>T-19-004</v>
      </c>
      <c r="D7" s="19">
        <v>2019</v>
      </c>
      <c r="E7" s="19" t="s">
        <v>142</v>
      </c>
      <c r="F7" s="19" t="s">
        <v>136</v>
      </c>
      <c r="G7" s="19" t="s">
        <v>9</v>
      </c>
      <c r="H7" s="23">
        <f t="shared" si="1"/>
        <v>0.1</v>
      </c>
      <c r="I7" s="24">
        <v>5</v>
      </c>
      <c r="J7" s="24">
        <v>75</v>
      </c>
      <c r="K7" s="24">
        <v>6</v>
      </c>
      <c r="L7" s="24" t="str">
        <f t="shared" si="2"/>
        <v>◆◆◆◆◆◆◆◆83.3%</v>
      </c>
      <c r="M7" s="24" t="str" cm="1">
        <f t="array" ref="M7">fn비고(I7,J7)</f>
        <v/>
      </c>
    </row>
    <row r="8" spans="2:13">
      <c r="B8" s="19" t="s">
        <v>143</v>
      </c>
      <c r="C8" s="21" t="str">
        <f t="shared" si="0"/>
        <v>T-19-005</v>
      </c>
      <c r="D8" s="19">
        <v>2019</v>
      </c>
      <c r="E8" s="22" t="s">
        <v>60</v>
      </c>
      <c r="F8" s="19" t="s">
        <v>138</v>
      </c>
      <c r="G8" s="19" t="s">
        <v>144</v>
      </c>
      <c r="H8" s="23">
        <f t="shared" si="1"/>
        <v>0.1</v>
      </c>
      <c r="I8" s="24">
        <v>5</v>
      </c>
      <c r="J8" s="24">
        <v>53</v>
      </c>
      <c r="K8" s="24">
        <v>5</v>
      </c>
      <c r="L8" s="24" t="str">
        <f t="shared" si="2"/>
        <v>◆◆◆◆◆◆◆◆◆◆100.0%</v>
      </c>
      <c r="M8" s="24" t="str" cm="1">
        <f t="array" ref="M8">fn비고(I8,J8)</f>
        <v>강좌폐강</v>
      </c>
    </row>
    <row r="9" spans="2:13">
      <c r="B9" s="19" t="s">
        <v>145</v>
      </c>
      <c r="C9" s="21" t="str">
        <f t="shared" si="0"/>
        <v>T-19-006</v>
      </c>
      <c r="D9" s="19">
        <v>2019</v>
      </c>
      <c r="E9" s="19" t="s">
        <v>66</v>
      </c>
      <c r="F9" s="19" t="s">
        <v>138</v>
      </c>
      <c r="G9" s="19" t="s">
        <v>146</v>
      </c>
      <c r="H9" s="23">
        <f t="shared" si="1"/>
        <v>0.1</v>
      </c>
      <c r="I9" s="24">
        <v>2</v>
      </c>
      <c r="J9" s="24">
        <v>50</v>
      </c>
      <c r="K9" s="24"/>
      <c r="L9" s="24" t="str">
        <f t="shared" si="2"/>
        <v>신규강의</v>
      </c>
      <c r="M9" s="24" t="str" cm="1">
        <f t="array" ref="M9">fn비고(I9,J9)</f>
        <v/>
      </c>
    </row>
    <row r="10" spans="2:13">
      <c r="B10" s="19" t="s">
        <v>147</v>
      </c>
      <c r="C10" s="21" t="str">
        <f t="shared" si="0"/>
        <v>T-19-007</v>
      </c>
      <c r="D10" s="19">
        <v>2019</v>
      </c>
      <c r="E10" s="22" t="s">
        <v>47</v>
      </c>
      <c r="F10" s="19" t="s">
        <v>138</v>
      </c>
      <c r="G10" s="19" t="s">
        <v>146</v>
      </c>
      <c r="H10" s="23">
        <f t="shared" si="1"/>
        <v>0.1</v>
      </c>
      <c r="I10" s="24">
        <v>3</v>
      </c>
      <c r="J10" s="24">
        <v>36</v>
      </c>
      <c r="K10" s="24">
        <v>3</v>
      </c>
      <c r="L10" s="24" t="str">
        <f t="shared" si="2"/>
        <v>◆◆◆◆◆◆◆◆◆◆100.0%</v>
      </c>
      <c r="M10" s="24" t="str" cm="1">
        <f t="array" ref="M10">fn비고(I10,J10)</f>
        <v>강좌폐강</v>
      </c>
    </row>
    <row r="11" spans="2:13">
      <c r="B11" s="19" t="s">
        <v>148</v>
      </c>
      <c r="C11" s="21" t="str">
        <f t="shared" si="0"/>
        <v>T-19-008</v>
      </c>
      <c r="D11" s="19">
        <v>2019</v>
      </c>
      <c r="E11" s="22" t="s">
        <v>149</v>
      </c>
      <c r="F11" s="19" t="s">
        <v>136</v>
      </c>
      <c r="G11" s="19" t="s">
        <v>144</v>
      </c>
      <c r="H11" s="23">
        <f t="shared" si="1"/>
        <v>0.2</v>
      </c>
      <c r="I11" s="24">
        <v>3</v>
      </c>
      <c r="J11" s="24">
        <v>70</v>
      </c>
      <c r="K11" s="24">
        <v>9</v>
      </c>
      <c r="L11" s="24" t="str">
        <f t="shared" si="2"/>
        <v>◆◆◆33.3%</v>
      </c>
      <c r="M11" s="24" t="str" cm="1">
        <f t="array" ref="M11">fn비고(I11,J11)</f>
        <v/>
      </c>
    </row>
    <row r="12" spans="2:13">
      <c r="B12" s="19" t="s">
        <v>150</v>
      </c>
      <c r="C12" s="21" t="str">
        <f t="shared" si="0"/>
        <v>T-19-009</v>
      </c>
      <c r="D12" s="19">
        <v>2019</v>
      </c>
      <c r="E12" s="22" t="s">
        <v>64</v>
      </c>
      <c r="F12" s="19" t="s">
        <v>138</v>
      </c>
      <c r="G12" s="19" t="s">
        <v>146</v>
      </c>
      <c r="H12" s="23">
        <f t="shared" si="1"/>
        <v>0.1</v>
      </c>
      <c r="I12" s="24">
        <v>4</v>
      </c>
      <c r="J12" s="24">
        <v>79</v>
      </c>
      <c r="K12" s="24">
        <v>5</v>
      </c>
      <c r="L12" s="24" t="str">
        <f t="shared" si="2"/>
        <v>◆◆◆◆◆◆◆◆80.0%</v>
      </c>
      <c r="M12" s="24" t="str" cm="1">
        <f t="array" ref="M12">fn비고(I12,J12)</f>
        <v/>
      </c>
    </row>
    <row r="13" spans="2:13">
      <c r="B13" s="19" t="s">
        <v>151</v>
      </c>
      <c r="C13" s="21" t="str">
        <f t="shared" si="0"/>
        <v>T-19-010</v>
      </c>
      <c r="D13" s="19">
        <v>2019</v>
      </c>
      <c r="E13" s="19" t="s">
        <v>152</v>
      </c>
      <c r="F13" s="19" t="s">
        <v>153</v>
      </c>
      <c r="G13" s="19" t="s">
        <v>154</v>
      </c>
      <c r="H13" s="23">
        <f t="shared" si="1"/>
        <v>0.25</v>
      </c>
      <c r="I13" s="24">
        <v>2</v>
      </c>
      <c r="J13" s="24">
        <v>32</v>
      </c>
      <c r="K13" s="24">
        <v>5</v>
      </c>
      <c r="L13" s="24" t="str">
        <f t="shared" si="2"/>
        <v>◆◆◆◆40.0%</v>
      </c>
      <c r="M13" s="24" t="str" cm="1">
        <f t="array" ref="M13">fn비고(I13,J13)</f>
        <v/>
      </c>
    </row>
    <row r="14" spans="2:13">
      <c r="B14" s="19" t="s">
        <v>155</v>
      </c>
      <c r="C14" s="21" t="str">
        <f t="shared" si="0"/>
        <v>T-19-011</v>
      </c>
      <c r="D14" s="19">
        <v>2019</v>
      </c>
      <c r="E14" s="19" t="s">
        <v>54</v>
      </c>
      <c r="F14" s="19" t="s">
        <v>153</v>
      </c>
      <c r="G14" s="19" t="s">
        <v>9</v>
      </c>
      <c r="H14" s="23">
        <f t="shared" si="1"/>
        <v>0.15</v>
      </c>
      <c r="I14" s="24">
        <v>4</v>
      </c>
      <c r="J14" s="24">
        <v>350</v>
      </c>
      <c r="K14" s="24">
        <v>3</v>
      </c>
      <c r="L14" s="24" t="str">
        <f t="shared" si="2"/>
        <v>◆◆◆◆◆◆◆◆◆◆◆◆◆133.3%</v>
      </c>
      <c r="M14" s="24" t="str" cm="1">
        <f t="array" ref="M14">fn비고(I14,J14)</f>
        <v>추가강좌</v>
      </c>
    </row>
    <row r="15" spans="2:13">
      <c r="B15" s="19" t="s">
        <v>156</v>
      </c>
      <c r="C15" s="21" t="str">
        <f t="shared" si="0"/>
        <v>T-19-012</v>
      </c>
      <c r="D15" s="19">
        <v>2019</v>
      </c>
      <c r="E15" s="19" t="s">
        <v>33</v>
      </c>
      <c r="F15" s="19" t="s">
        <v>138</v>
      </c>
      <c r="G15" s="19" t="s">
        <v>12</v>
      </c>
      <c r="H15" s="23">
        <f t="shared" si="1"/>
        <v>0.1</v>
      </c>
      <c r="I15" s="24">
        <v>5</v>
      </c>
      <c r="J15" s="24">
        <v>58</v>
      </c>
      <c r="K15" s="24">
        <v>7</v>
      </c>
      <c r="L15" s="24" t="str">
        <f t="shared" si="2"/>
        <v>◆◆◆◆◆◆◆71.4%</v>
      </c>
      <c r="M15" s="24" t="str" cm="1">
        <f t="array" ref="M15">fn비고(I15,J15)</f>
        <v>강좌폐강</v>
      </c>
    </row>
    <row r="16" spans="2:13">
      <c r="B16" s="19" t="s">
        <v>157</v>
      </c>
      <c r="C16" s="21" t="str">
        <f t="shared" si="0"/>
        <v>T-19-013</v>
      </c>
      <c r="D16" s="19">
        <v>2019</v>
      </c>
      <c r="E16" s="19" t="s">
        <v>57</v>
      </c>
      <c r="F16" s="19" t="s">
        <v>153</v>
      </c>
      <c r="G16" s="19" t="s">
        <v>9</v>
      </c>
      <c r="H16" s="23">
        <f t="shared" si="1"/>
        <v>0.15</v>
      </c>
      <c r="I16" s="24">
        <v>6</v>
      </c>
      <c r="J16" s="24">
        <v>110</v>
      </c>
      <c r="K16" s="24">
        <v>8</v>
      </c>
      <c r="L16" s="24" t="str">
        <f t="shared" si="2"/>
        <v>◆◆◆◆◆◆◆75.0%</v>
      </c>
      <c r="M16" s="24" t="str" cm="1">
        <f t="array" ref="M16">fn비고(I16,J16)</f>
        <v/>
      </c>
    </row>
    <row r="17" spans="2:13">
      <c r="B17" s="19" t="s">
        <v>158</v>
      </c>
      <c r="C17" s="21" t="str">
        <f t="shared" si="0"/>
        <v>T-19-014</v>
      </c>
      <c r="D17" s="19">
        <v>2019</v>
      </c>
      <c r="E17" s="22" t="s">
        <v>159</v>
      </c>
      <c r="F17" s="19" t="s">
        <v>160</v>
      </c>
      <c r="G17" s="19" t="s">
        <v>12</v>
      </c>
      <c r="H17" s="23">
        <f t="shared" si="1"/>
        <v>0.1</v>
      </c>
      <c r="I17" s="24">
        <v>3</v>
      </c>
      <c r="J17" s="24">
        <v>49</v>
      </c>
      <c r="K17" s="24">
        <v>5</v>
      </c>
      <c r="L17" s="24" t="str">
        <f t="shared" si="2"/>
        <v>◆◆◆◆◆◆60.0%</v>
      </c>
      <c r="M17" s="24" t="str" cm="1">
        <f t="array" ref="M17">fn비고(I17,J17)</f>
        <v/>
      </c>
    </row>
    <row r="18" spans="2:13">
      <c r="B18" s="19" t="s">
        <v>161</v>
      </c>
      <c r="C18" s="21" t="str">
        <f t="shared" si="0"/>
        <v>T-19-015</v>
      </c>
      <c r="D18" s="19">
        <v>2019</v>
      </c>
      <c r="E18" s="22" t="s">
        <v>162</v>
      </c>
      <c r="F18" s="19" t="s">
        <v>136</v>
      </c>
      <c r="G18" s="19" t="s">
        <v>140</v>
      </c>
      <c r="H18" s="23">
        <f t="shared" si="1"/>
        <v>0.2</v>
      </c>
      <c r="I18" s="24">
        <v>5</v>
      </c>
      <c r="J18" s="24">
        <v>39</v>
      </c>
      <c r="K18" s="24">
        <v>6</v>
      </c>
      <c r="L18" s="24" t="str">
        <f t="shared" si="2"/>
        <v>◆◆◆◆◆◆◆◆83.3%</v>
      </c>
      <c r="M18" s="24" t="str" cm="1">
        <f t="array" ref="M18">fn비고(I18,J18)</f>
        <v>강좌폐강</v>
      </c>
    </row>
    <row r="19" spans="2:13">
      <c r="B19" s="19" t="s">
        <v>163</v>
      </c>
      <c r="C19" s="21" t="str">
        <f t="shared" si="0"/>
        <v>T-19-016</v>
      </c>
      <c r="D19" s="19">
        <v>2019</v>
      </c>
      <c r="E19" s="19" t="s">
        <v>164</v>
      </c>
      <c r="F19" s="19" t="s">
        <v>153</v>
      </c>
      <c r="G19" s="19" t="s">
        <v>144</v>
      </c>
      <c r="H19" s="23">
        <f t="shared" si="1"/>
        <v>0.25</v>
      </c>
      <c r="I19" s="24">
        <v>3</v>
      </c>
      <c r="J19" s="24">
        <v>42</v>
      </c>
      <c r="K19" s="24">
        <v>6</v>
      </c>
      <c r="L19" s="24" t="str">
        <f t="shared" si="2"/>
        <v>◆◆◆◆◆50.0%</v>
      </c>
      <c r="M19" s="24" t="str" cm="1">
        <f t="array" ref="M19">fn비고(I19,J19)</f>
        <v>강좌폐강</v>
      </c>
    </row>
    <row r="20" spans="2:13">
      <c r="B20" s="19" t="s">
        <v>165</v>
      </c>
      <c r="C20" s="21" t="str">
        <f t="shared" si="0"/>
        <v>T-20-017</v>
      </c>
      <c r="D20" s="19">
        <v>2020</v>
      </c>
      <c r="E20" s="19" t="s">
        <v>166</v>
      </c>
      <c r="F20" s="19" t="s">
        <v>138</v>
      </c>
      <c r="G20" s="19" t="s">
        <v>144</v>
      </c>
      <c r="H20" s="23">
        <f t="shared" si="1"/>
        <v>0.1</v>
      </c>
      <c r="I20" s="24">
        <v>5</v>
      </c>
      <c r="J20" s="24">
        <v>38</v>
      </c>
      <c r="K20" s="24">
        <v>4</v>
      </c>
      <c r="L20" s="24" t="str">
        <f t="shared" si="2"/>
        <v>◆◆◆◆◆◆◆◆◆◆◆◆125.0%</v>
      </c>
      <c r="M20" s="24" t="str" cm="1">
        <f t="array" ref="M20">fn비고(I20,J20)</f>
        <v>강좌폐강</v>
      </c>
    </row>
    <row r="21" spans="2:13">
      <c r="B21" s="19" t="s">
        <v>167</v>
      </c>
      <c r="C21" s="21" t="str">
        <f t="shared" si="0"/>
        <v>T-20-018</v>
      </c>
      <c r="D21" s="19">
        <v>2020</v>
      </c>
      <c r="E21" s="22" t="s">
        <v>168</v>
      </c>
      <c r="F21" s="19" t="s">
        <v>136</v>
      </c>
      <c r="G21" s="19" t="s">
        <v>144</v>
      </c>
      <c r="H21" s="23">
        <f t="shared" si="1"/>
        <v>0.2</v>
      </c>
      <c r="I21" s="24">
        <v>1</v>
      </c>
      <c r="J21" s="24">
        <v>28</v>
      </c>
      <c r="K21" s="24">
        <v>8</v>
      </c>
      <c r="L21" s="24" t="str">
        <f t="shared" si="2"/>
        <v>◆12.5%</v>
      </c>
      <c r="M21" s="24" t="str" cm="1">
        <f t="array" ref="M21">fn비고(I21,J21)</f>
        <v/>
      </c>
    </row>
    <row r="22" spans="2:13">
      <c r="B22" s="19" t="s">
        <v>169</v>
      </c>
      <c r="C22" s="21" t="str">
        <f t="shared" si="0"/>
        <v>T-20-019</v>
      </c>
      <c r="D22" s="19">
        <v>2020</v>
      </c>
      <c r="E22" s="19" t="s">
        <v>170</v>
      </c>
      <c r="F22" s="19" t="s">
        <v>138</v>
      </c>
      <c r="G22" s="19" t="s">
        <v>9</v>
      </c>
      <c r="H22" s="23">
        <f t="shared" si="1"/>
        <v>0.05</v>
      </c>
      <c r="I22" s="24">
        <v>1</v>
      </c>
      <c r="J22" s="24">
        <v>20</v>
      </c>
      <c r="K22" s="24"/>
      <c r="L22" s="24" t="str">
        <f t="shared" si="2"/>
        <v>신규강의</v>
      </c>
      <c r="M22" s="24" t="str" cm="1">
        <f t="array" ref="M22">fn비고(I22,J22)</f>
        <v/>
      </c>
    </row>
    <row r="23" spans="2:13">
      <c r="B23" s="19" t="s">
        <v>171</v>
      </c>
      <c r="C23" s="21" t="str">
        <f t="shared" si="0"/>
        <v>T-20-020</v>
      </c>
      <c r="D23" s="19">
        <v>2020</v>
      </c>
      <c r="E23" s="19" t="s">
        <v>172</v>
      </c>
      <c r="F23" s="19" t="s">
        <v>138</v>
      </c>
      <c r="G23" s="19" t="s">
        <v>140</v>
      </c>
      <c r="H23" s="23">
        <f t="shared" si="1"/>
        <v>0.1</v>
      </c>
      <c r="I23" s="24">
        <v>6</v>
      </c>
      <c r="J23" s="24">
        <v>100</v>
      </c>
      <c r="K23" s="24">
        <v>5</v>
      </c>
      <c r="L23" s="24" t="str">
        <f t="shared" si="2"/>
        <v>◆◆◆◆◆◆◆◆◆◆◆◆120.0%</v>
      </c>
      <c r="M23" s="24" t="str" cm="1">
        <f t="array" ref="M23">fn비고(I23,J23)</f>
        <v/>
      </c>
    </row>
    <row r="24" spans="2:13">
      <c r="B24" s="19" t="s">
        <v>173</v>
      </c>
      <c r="C24" s="21" t="str">
        <f t="shared" si="0"/>
        <v>T-20-021</v>
      </c>
      <c r="D24" s="19">
        <v>2020</v>
      </c>
      <c r="E24" s="22" t="s">
        <v>174</v>
      </c>
      <c r="F24" s="19" t="s">
        <v>138</v>
      </c>
      <c r="G24" s="19" t="s">
        <v>146</v>
      </c>
      <c r="H24" s="23">
        <f t="shared" si="1"/>
        <v>0.1</v>
      </c>
      <c r="I24" s="24">
        <v>6</v>
      </c>
      <c r="J24" s="24">
        <v>280</v>
      </c>
      <c r="K24" s="24">
        <v>5</v>
      </c>
      <c r="L24" s="24" t="str">
        <f t="shared" si="2"/>
        <v>◆◆◆◆◆◆◆◆◆◆◆◆120.0%</v>
      </c>
      <c r="M24" s="24" t="str" cm="1">
        <f t="array" ref="M24">fn비고(I24,J24)</f>
        <v>추가강좌</v>
      </c>
    </row>
    <row r="25" spans="2:13">
      <c r="B25" s="19" t="s">
        <v>175</v>
      </c>
      <c r="C25" s="21" t="str">
        <f t="shared" si="0"/>
        <v>T-20-022</v>
      </c>
      <c r="D25" s="19">
        <v>2020</v>
      </c>
      <c r="E25" s="22" t="s">
        <v>176</v>
      </c>
      <c r="F25" s="19" t="s">
        <v>138</v>
      </c>
      <c r="G25" s="19" t="s">
        <v>144</v>
      </c>
      <c r="H25" s="23">
        <f t="shared" si="1"/>
        <v>0.1</v>
      </c>
      <c r="I25" s="24">
        <v>1</v>
      </c>
      <c r="J25" s="24">
        <v>25</v>
      </c>
      <c r="K25" s="24"/>
      <c r="L25" s="24" t="str">
        <f t="shared" si="2"/>
        <v>신규강의</v>
      </c>
      <c r="M25" s="24" t="str" cm="1">
        <f t="array" ref="M25">fn비고(I25,J25)</f>
        <v/>
      </c>
    </row>
    <row r="26" spans="2:13">
      <c r="B26" s="19" t="s">
        <v>177</v>
      </c>
      <c r="C26" s="21" t="str">
        <f t="shared" si="0"/>
        <v>T-20-023</v>
      </c>
      <c r="D26" s="19">
        <v>2020</v>
      </c>
      <c r="E26" s="22" t="s">
        <v>178</v>
      </c>
      <c r="F26" s="19" t="s">
        <v>136</v>
      </c>
      <c r="G26" s="19" t="s">
        <v>179</v>
      </c>
      <c r="H26" s="23">
        <f t="shared" si="1"/>
        <v>0.2</v>
      </c>
      <c r="I26" s="24">
        <v>4</v>
      </c>
      <c r="J26" s="24">
        <v>65</v>
      </c>
      <c r="K26" s="24">
        <v>3</v>
      </c>
      <c r="L26" s="24" t="str">
        <f t="shared" si="2"/>
        <v>◆◆◆◆◆◆◆◆◆◆◆◆◆133.3%</v>
      </c>
      <c r="M26" s="24" t="str" cm="1">
        <f t="array" ref="M26">fn비고(I26,J26)</f>
        <v/>
      </c>
    </row>
    <row r="27" spans="2:13">
      <c r="B27" s="19" t="s">
        <v>180</v>
      </c>
      <c r="C27" s="21" t="str">
        <f t="shared" si="0"/>
        <v>T-20-024</v>
      </c>
      <c r="D27" s="19">
        <v>2020</v>
      </c>
      <c r="E27" s="22" t="s">
        <v>29</v>
      </c>
      <c r="F27" s="19" t="s">
        <v>153</v>
      </c>
      <c r="G27" s="19" t="s">
        <v>144</v>
      </c>
      <c r="H27" s="23">
        <f t="shared" si="1"/>
        <v>0.25</v>
      </c>
      <c r="I27" s="24">
        <v>2</v>
      </c>
      <c r="J27" s="24">
        <v>37</v>
      </c>
      <c r="K27" s="24">
        <v>2</v>
      </c>
      <c r="L27" s="24" t="str">
        <f t="shared" si="2"/>
        <v>◆◆◆◆◆◆◆◆◆◆100.0%</v>
      </c>
      <c r="M27" s="24" t="str" cm="1">
        <f t="array" ref="M27">fn비고(I27,J27)</f>
        <v/>
      </c>
    </row>
    <row r="28" spans="2:13">
      <c r="B28" s="19" t="s">
        <v>181</v>
      </c>
      <c r="C28" s="21" t="str">
        <f t="shared" si="0"/>
        <v>T-20-025</v>
      </c>
      <c r="D28" s="19">
        <v>2020</v>
      </c>
      <c r="E28" s="22" t="s">
        <v>182</v>
      </c>
      <c r="F28" s="19" t="s">
        <v>138</v>
      </c>
      <c r="G28" s="19" t="s">
        <v>9</v>
      </c>
      <c r="H28" s="23">
        <f t="shared" si="1"/>
        <v>0.05</v>
      </c>
      <c r="I28" s="24">
        <v>8</v>
      </c>
      <c r="J28" s="24">
        <v>131</v>
      </c>
      <c r="K28" s="24">
        <v>9</v>
      </c>
      <c r="L28" s="24" t="str">
        <f t="shared" si="2"/>
        <v>◆◆◆◆◆◆◆◆88.9%</v>
      </c>
      <c r="M28" s="24" t="str" cm="1">
        <f t="array" ref="M28">fn비고(I28,J28)</f>
        <v/>
      </c>
    </row>
    <row r="29" spans="2:13">
      <c r="B29" s="19" t="s">
        <v>183</v>
      </c>
      <c r="C29" s="21" t="str">
        <f t="shared" si="0"/>
        <v>T-20-026</v>
      </c>
      <c r="D29" s="19">
        <v>2020</v>
      </c>
      <c r="E29" s="19" t="s">
        <v>184</v>
      </c>
      <c r="F29" s="19" t="s">
        <v>136</v>
      </c>
      <c r="G29" s="19" t="s">
        <v>140</v>
      </c>
      <c r="H29" s="23">
        <f t="shared" si="1"/>
        <v>0.2</v>
      </c>
      <c r="I29" s="24">
        <v>6</v>
      </c>
      <c r="J29" s="24">
        <v>150</v>
      </c>
      <c r="K29" s="24">
        <v>7</v>
      </c>
      <c r="L29" s="24" t="str">
        <f t="shared" si="2"/>
        <v>◆◆◆◆◆◆◆◆85.7%</v>
      </c>
      <c r="M29" s="24" t="str" cm="1">
        <f t="array" ref="M29">fn비고(I29,J29)</f>
        <v/>
      </c>
    </row>
    <row r="30" spans="2:13">
      <c r="B30" s="19" t="s">
        <v>185</v>
      </c>
      <c r="C30" s="21" t="str">
        <f t="shared" si="0"/>
        <v>T-20-027</v>
      </c>
      <c r="D30" s="19">
        <v>2020</v>
      </c>
      <c r="E30" s="22" t="s">
        <v>186</v>
      </c>
      <c r="F30" s="19" t="s">
        <v>138</v>
      </c>
      <c r="G30" s="19" t="s">
        <v>140</v>
      </c>
      <c r="H30" s="23">
        <f t="shared" si="1"/>
        <v>0.1</v>
      </c>
      <c r="I30" s="24">
        <v>1</v>
      </c>
      <c r="J30" s="24">
        <v>38</v>
      </c>
      <c r="K30" s="24">
        <v>4</v>
      </c>
      <c r="L30" s="24" t="str">
        <f t="shared" si="2"/>
        <v>◆◆25.0%</v>
      </c>
      <c r="M30" s="24" t="str" cm="1">
        <f t="array" ref="M30">fn비고(I30,J30)</f>
        <v>추가강좌</v>
      </c>
    </row>
    <row r="31" spans="2:13">
      <c r="B31" s="19" t="s">
        <v>187</v>
      </c>
      <c r="C31" s="21" t="str">
        <f t="shared" si="0"/>
        <v>T-20-028</v>
      </c>
      <c r="D31" s="19">
        <v>2020</v>
      </c>
      <c r="E31" s="22" t="s">
        <v>188</v>
      </c>
      <c r="F31" s="19" t="s">
        <v>136</v>
      </c>
      <c r="G31" s="19" t="s">
        <v>9</v>
      </c>
      <c r="H31" s="23">
        <f t="shared" si="1"/>
        <v>0.1</v>
      </c>
      <c r="I31" s="24">
        <v>6</v>
      </c>
      <c r="J31" s="24">
        <v>230</v>
      </c>
      <c r="K31" s="24">
        <v>5</v>
      </c>
      <c r="L31" s="24" t="str">
        <f t="shared" si="2"/>
        <v>◆◆◆◆◆◆◆◆◆◆◆◆120.0%</v>
      </c>
      <c r="M31" s="24" t="str" cm="1">
        <f t="array" ref="M31">fn비고(I31,J31)</f>
        <v>추가강좌</v>
      </c>
    </row>
    <row r="32" spans="2:13">
      <c r="E32" s="25"/>
      <c r="F32" s="12"/>
      <c r="G32" s="12"/>
      <c r="H32" s="12"/>
    </row>
    <row r="33" spans="2:11">
      <c r="B33" t="s">
        <v>189</v>
      </c>
      <c r="G33" t="s">
        <v>197</v>
      </c>
    </row>
    <row r="34" spans="2:11">
      <c r="B34" s="19" t="s">
        <v>128</v>
      </c>
      <c r="C34" s="19" t="s">
        <v>153</v>
      </c>
      <c r="D34" s="19" t="s">
        <v>136</v>
      </c>
      <c r="E34" s="19" t="s">
        <v>138</v>
      </c>
      <c r="G34" s="19" t="s">
        <v>190</v>
      </c>
      <c r="H34" s="20" t="s">
        <v>140</v>
      </c>
      <c r="I34" s="20" t="s">
        <v>191</v>
      </c>
      <c r="J34" s="20" t="s">
        <v>146</v>
      </c>
      <c r="K34" s="20" t="s">
        <v>144</v>
      </c>
    </row>
    <row r="35" spans="2:11">
      <c r="B35" s="19" t="s">
        <v>191</v>
      </c>
      <c r="C35" s="26">
        <v>0.15</v>
      </c>
      <c r="D35" s="26">
        <v>0.1</v>
      </c>
      <c r="E35" s="27">
        <v>0.05</v>
      </c>
      <c r="G35" s="19">
        <v>1</v>
      </c>
      <c r="H35" s="19" t="str">
        <f t="array" ref="H35">INDEX($E$4:$E$31,MATCH(LARGE(($G$4:$G$31=H$34)*$J$4:$J$31,$G35),($G$4:$G$31=H$34)*$J$4:$J$31,0))</f>
        <v>박나래</v>
      </c>
      <c r="I35" s="19" t="str">
        <f t="array" ref="I35">INDEX($E$4:$E$31,MATCH(LARGE(($G$4:$G$31=I$34)*$J$4:$J$31,$G35),($G$4:$G$31=I$34)*$J$4:$J$31,0))</f>
        <v>신하림</v>
      </c>
      <c r="J35" s="19" t="str">
        <f t="array" ref="J35">INDEX($E$4:$E$31,MATCH(LARGE(($G$4:$G$31=J$34)*$J$4:$J$31,$G35),($G$4:$G$31=J$34)*$J$4:$J$31,0))</f>
        <v>김대주</v>
      </c>
      <c r="K35" s="19" t="str">
        <f t="array" ref="K35">INDEX($E$4:$E$31,MATCH(LARGE(($G$4:$G$31=K$34)*$J$4:$J$31,$G35),($G$4:$G$31=K$34)*$J$4:$J$31,0))</f>
        <v>강성민</v>
      </c>
    </row>
    <row r="36" spans="2:11">
      <c r="B36" s="19" t="s">
        <v>196</v>
      </c>
      <c r="C36" s="26">
        <v>0.25</v>
      </c>
      <c r="D36" s="26">
        <v>0.2</v>
      </c>
      <c r="E36" s="28">
        <v>0.1</v>
      </c>
      <c r="G36" s="19">
        <v>2</v>
      </c>
      <c r="H36" s="19" t="str">
        <f t="array" ref="H36">INDEX($E$4:$E$31,MATCH(LARGE(($G$4:$G$31=H$34)*$J$4:$J$31,$G36),($G$4:$G$31=H$34)*$J$4:$J$31,0))</f>
        <v>허준희</v>
      </c>
      <c r="I36" s="19" t="str">
        <f t="array" ref="I36">INDEX($E$4:$E$31,MATCH(LARGE(($G$4:$G$31=I$34)*$J$4:$J$31,$G36),($G$4:$G$31=I$34)*$J$4:$J$31,0))</f>
        <v>김대준</v>
      </c>
      <c r="J36" s="19" t="str">
        <f t="array" ref="J36">INDEX($E$4:$E$31,MATCH(LARGE(($G$4:$G$31=J$34)*$J$4:$J$31,$G36),($G$4:$G$31=J$34)*$J$4:$J$31,0))</f>
        <v>전진호</v>
      </c>
      <c r="K36" s="19" t="str">
        <f t="array" ref="K36">INDEX($E$4:$E$31,MATCH(LARGE(($G$4:$G$31=K$34)*$J$4:$J$31,$G36),($G$4:$G$31=K$34)*$J$4:$J$31,0))</f>
        <v>박재민</v>
      </c>
    </row>
    <row r="37" spans="2:11">
      <c r="E37" s="12"/>
      <c r="F37" s="12"/>
      <c r="G37" s="19">
        <v>3</v>
      </c>
      <c r="H37" s="19" t="str">
        <f t="array" ref="H37">INDEX($E$4:$E$31,MATCH(LARGE(($G$4:$G$31=H$34)*$J$4:$J$31,$G37),($G$4:$G$31=H$34)*$J$4:$J$31,0))</f>
        <v>이명희</v>
      </c>
      <c r="I37" s="19" t="str">
        <f t="array" ref="I37">INDEX($E$4:$E$31,MATCH(LARGE(($G$4:$G$31=I$34)*$J$4:$J$31,$G37),($G$4:$G$31=I$34)*$J$4:$J$31,0))</f>
        <v>장애진</v>
      </c>
      <c r="J37" s="19" t="str">
        <f t="array" ref="J37">INDEX($E$4:$E$31,MATCH(LARGE(($G$4:$G$31=J$34)*$J$4:$J$31,$G37),($G$4:$G$31=J$34)*$J$4:$J$31,0))</f>
        <v>김대영</v>
      </c>
      <c r="K37" s="19" t="str">
        <f t="array" ref="K37">INDEX($E$4:$E$31,MATCH(LARGE(($G$4:$G$31=K$34)*$J$4:$J$31,$G37),($G$4:$G$31=K$34)*$J$4:$J$31,0))</f>
        <v>이서진</v>
      </c>
    </row>
    <row r="38" spans="2:11">
      <c r="C38" s="29"/>
    </row>
  </sheetData>
  <sortState xmlns:xlrd2="http://schemas.microsoft.com/office/spreadsheetml/2017/richdata2" ref="O11:O12">
    <sortCondition ref="O11"/>
  </sortState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D27"/>
  <sheetViews>
    <sheetView workbookViewId="0">
      <selection activeCell="J31" sqref="J31"/>
    </sheetView>
  </sheetViews>
  <sheetFormatPr defaultColWidth="8.75" defaultRowHeight="16.5"/>
  <cols>
    <col min="1" max="1" width="8.75" style="12"/>
    <col min="2" max="2" width="11.875" style="12" bestFit="1" customWidth="1"/>
    <col min="3" max="3" width="13.125" style="12" customWidth="1"/>
    <col min="4" max="16384" width="8.75" style="12"/>
  </cols>
  <sheetData>
    <row r="1" spans="2:4">
      <c r="B1" s="30" t="s">
        <v>5</v>
      </c>
      <c r="C1" t="s">
        <v>198</v>
      </c>
    </row>
    <row r="3" spans="2:4">
      <c r="B3" s="30" t="s">
        <v>199</v>
      </c>
      <c r="C3" t="s">
        <v>201</v>
      </c>
      <c r="D3"/>
    </row>
    <row r="4" spans="2:4">
      <c r="B4" s="31">
        <v>1</v>
      </c>
      <c r="C4" s="33"/>
      <c r="D4"/>
    </row>
    <row r="5" spans="2:4">
      <c r="B5" s="32" t="s">
        <v>17</v>
      </c>
      <c r="C5" s="33">
        <v>800000</v>
      </c>
      <c r="D5"/>
    </row>
    <row r="6" spans="2:4">
      <c r="B6" s="32" t="s">
        <v>12</v>
      </c>
      <c r="C6" s="33">
        <v>420000</v>
      </c>
      <c r="D6"/>
    </row>
    <row r="7" spans="2:4">
      <c r="B7" s="32" t="s">
        <v>9</v>
      </c>
      <c r="C7" s="33">
        <v>210000</v>
      </c>
      <c r="D7"/>
    </row>
    <row r="8" spans="2:4">
      <c r="B8" s="32" t="s">
        <v>46</v>
      </c>
      <c r="C8" s="33">
        <v>1200000</v>
      </c>
      <c r="D8"/>
    </row>
    <row r="9" spans="2:4">
      <c r="B9" s="32" t="s">
        <v>77</v>
      </c>
      <c r="C9" s="33">
        <v>1000000</v>
      </c>
      <c r="D9"/>
    </row>
    <row r="10" spans="2:4">
      <c r="B10" s="31" t="s">
        <v>246</v>
      </c>
      <c r="C10" s="33">
        <v>3630000</v>
      </c>
      <c r="D10"/>
    </row>
    <row r="11" spans="2:4">
      <c r="B11" s="31">
        <v>2</v>
      </c>
      <c r="C11" s="33"/>
      <c r="D11"/>
    </row>
    <row r="12" spans="2:4">
      <c r="B12" s="32" t="s">
        <v>17</v>
      </c>
      <c r="C12" s="33">
        <v>210000</v>
      </c>
      <c r="D12"/>
    </row>
    <row r="13" spans="2:4">
      <c r="B13" s="32" t="s">
        <v>36</v>
      </c>
      <c r="C13" s="33">
        <v>210000</v>
      </c>
      <c r="D13"/>
    </row>
    <row r="14" spans="2:4">
      <c r="B14" s="32" t="s">
        <v>63</v>
      </c>
      <c r="C14" s="33">
        <v>840000</v>
      </c>
      <c r="D14"/>
    </row>
    <row r="15" spans="2:4">
      <c r="B15" s="32" t="s">
        <v>9</v>
      </c>
      <c r="C15" s="33">
        <v>660000</v>
      </c>
      <c r="D15"/>
    </row>
    <row r="16" spans="2:4">
      <c r="B16" s="32" t="s">
        <v>46</v>
      </c>
      <c r="C16" s="33">
        <v>210000</v>
      </c>
      <c r="D16"/>
    </row>
    <row r="17" spans="2:4">
      <c r="B17" s="32" t="s">
        <v>77</v>
      </c>
      <c r="C17" s="33">
        <v>630000</v>
      </c>
      <c r="D17"/>
    </row>
    <row r="18" spans="2:4">
      <c r="B18" s="31" t="s">
        <v>247</v>
      </c>
      <c r="C18" s="33">
        <v>2760000</v>
      </c>
      <c r="D18"/>
    </row>
    <row r="19" spans="2:4">
      <c r="B19" s="31">
        <v>3</v>
      </c>
      <c r="C19" s="33"/>
      <c r="D19"/>
    </row>
    <row r="20" spans="2:4">
      <c r="B20" s="32" t="s">
        <v>17</v>
      </c>
      <c r="C20" s="33">
        <v>880000</v>
      </c>
      <c r="D20"/>
    </row>
    <row r="21" spans="2:4">
      <c r="B21" s="32" t="s">
        <v>39</v>
      </c>
      <c r="C21" s="33">
        <v>690000</v>
      </c>
    </row>
    <row r="22" spans="2:4">
      <c r="B22" s="32" t="s">
        <v>40</v>
      </c>
      <c r="C22" s="33">
        <v>230000</v>
      </c>
    </row>
    <row r="23" spans="2:4">
      <c r="B23" s="32" t="s">
        <v>12</v>
      </c>
      <c r="C23" s="33">
        <v>230000</v>
      </c>
    </row>
    <row r="24" spans="2:4">
      <c r="B24" s="32" t="s">
        <v>9</v>
      </c>
      <c r="C24" s="33">
        <v>920000</v>
      </c>
    </row>
    <row r="25" spans="2:4">
      <c r="B25" s="32" t="s">
        <v>77</v>
      </c>
      <c r="C25" s="33">
        <v>440000</v>
      </c>
    </row>
    <row r="26" spans="2:4">
      <c r="B26" s="31" t="s">
        <v>248</v>
      </c>
      <c r="C26" s="33">
        <v>3390000</v>
      </c>
    </row>
    <row r="27" spans="2:4">
      <c r="B27" s="31" t="s">
        <v>200</v>
      </c>
      <c r="C27" s="33">
        <v>9780000</v>
      </c>
    </row>
  </sheetData>
  <sortState xmlns:xlrd2="http://schemas.microsoft.com/office/spreadsheetml/2017/richdata2" ref="A2:G47">
    <sortCondition ref="B1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1" filterMode="1"/>
  <dimension ref="A1:F11"/>
  <sheetViews>
    <sheetView workbookViewId="0">
      <selection activeCell="H9" sqref="H9"/>
    </sheetView>
  </sheetViews>
  <sheetFormatPr defaultRowHeight="16.5"/>
  <cols>
    <col min="2" max="2" width="10.375" bestFit="1" customWidth="1"/>
    <col min="3" max="4" width="9" bestFit="1" customWidth="1"/>
    <col min="5" max="5" width="10.375" bestFit="1" customWidth="1"/>
    <col min="6" max="6" width="9" bestFit="1" customWidth="1"/>
  </cols>
  <sheetData>
    <row r="1" spans="1:6">
      <c r="A1" s="11" t="s">
        <v>93</v>
      </c>
      <c r="B1" s="13"/>
      <c r="C1" s="13"/>
      <c r="D1" s="13"/>
      <c r="E1" s="13"/>
      <c r="F1" s="14"/>
    </row>
    <row r="2" spans="1:6" ht="17.25" thickBot="1">
      <c r="A2" s="15" t="s">
        <v>94</v>
      </c>
      <c r="B2" s="16" t="s">
        <v>95</v>
      </c>
      <c r="C2" s="16" t="s">
        <v>96</v>
      </c>
      <c r="D2" s="16" t="s">
        <v>97</v>
      </c>
      <c r="E2" s="16" t="s">
        <v>98</v>
      </c>
      <c r="F2" s="16" t="s">
        <v>99</v>
      </c>
    </row>
    <row r="3" spans="1:6" ht="17.25" hidden="1" thickTop="1">
      <c r="A3" s="17" t="s">
        <v>29</v>
      </c>
      <c r="B3" s="18">
        <v>2500000</v>
      </c>
      <c r="C3" s="18">
        <v>400000</v>
      </c>
      <c r="D3" s="18">
        <v>60000</v>
      </c>
      <c r="E3" s="18">
        <v>2660000</v>
      </c>
      <c r="F3" s="18">
        <f t="shared" ref="F3:F11" si="0">E3*1.5%</f>
        <v>39900</v>
      </c>
    </row>
    <row r="4" spans="1:6" ht="17.25" thickTop="1">
      <c r="A4" s="17" t="s">
        <v>33</v>
      </c>
      <c r="B4" s="18">
        <v>2500000</v>
      </c>
      <c r="C4" s="18">
        <v>700000</v>
      </c>
      <c r="D4" s="18">
        <v>120000</v>
      </c>
      <c r="E4" s="18">
        <v>3020000</v>
      </c>
      <c r="F4" s="18">
        <f t="shared" si="0"/>
        <v>45300</v>
      </c>
    </row>
    <row r="5" spans="1:6" hidden="1">
      <c r="A5" s="17" t="s">
        <v>38</v>
      </c>
      <c r="B5" s="18">
        <v>2300000</v>
      </c>
      <c r="C5" s="18">
        <v>400000</v>
      </c>
      <c r="D5" s="18">
        <v>150000</v>
      </c>
      <c r="E5" s="18">
        <v>2550000</v>
      </c>
      <c r="F5" s="18">
        <f t="shared" si="0"/>
        <v>38250</v>
      </c>
    </row>
    <row r="6" spans="1:6">
      <c r="A6" s="17" t="s">
        <v>54</v>
      </c>
      <c r="B6" s="18">
        <v>2400000</v>
      </c>
      <c r="C6" s="18">
        <v>700000</v>
      </c>
      <c r="D6" s="18">
        <v>90000</v>
      </c>
      <c r="E6" s="18">
        <v>2890000</v>
      </c>
      <c r="F6" s="18">
        <f t="shared" si="0"/>
        <v>43350</v>
      </c>
    </row>
    <row r="7" spans="1:6">
      <c r="A7" s="17" t="s">
        <v>55</v>
      </c>
      <c r="B7" s="18">
        <v>2400000</v>
      </c>
      <c r="C7" s="18">
        <v>500000</v>
      </c>
      <c r="D7" s="18">
        <v>30000</v>
      </c>
      <c r="E7" s="18">
        <v>2630000</v>
      </c>
      <c r="F7" s="18">
        <f t="shared" si="0"/>
        <v>39450</v>
      </c>
    </row>
    <row r="8" spans="1:6">
      <c r="A8" s="17" t="s">
        <v>57</v>
      </c>
      <c r="B8" s="18">
        <v>2400000</v>
      </c>
      <c r="C8" s="18">
        <v>400000</v>
      </c>
      <c r="D8" s="18">
        <v>90000</v>
      </c>
      <c r="E8" s="18">
        <v>2590000</v>
      </c>
      <c r="F8" s="18">
        <f t="shared" si="0"/>
        <v>38850</v>
      </c>
    </row>
    <row r="9" spans="1:6">
      <c r="A9" s="17" t="s">
        <v>59</v>
      </c>
      <c r="B9" s="18">
        <v>2300000</v>
      </c>
      <c r="C9" s="18">
        <v>500000</v>
      </c>
      <c r="D9" s="18">
        <v>30000</v>
      </c>
      <c r="E9" s="18">
        <v>2730000</v>
      </c>
      <c r="F9" s="18">
        <f t="shared" si="0"/>
        <v>40950</v>
      </c>
    </row>
    <row r="10" spans="1:6">
      <c r="A10" s="17" t="s">
        <v>62</v>
      </c>
      <c r="B10" s="18">
        <v>2300000</v>
      </c>
      <c r="C10" s="18">
        <v>500000</v>
      </c>
      <c r="D10" s="18">
        <v>120000</v>
      </c>
      <c r="E10" s="18">
        <v>2620000</v>
      </c>
      <c r="F10" s="18">
        <f t="shared" si="0"/>
        <v>39300</v>
      </c>
    </row>
    <row r="11" spans="1:6">
      <c r="A11" s="17" t="s">
        <v>66</v>
      </c>
      <c r="B11" s="18">
        <v>2500000</v>
      </c>
      <c r="C11" s="18">
        <v>500000</v>
      </c>
      <c r="D11" s="18">
        <v>120000</v>
      </c>
      <c r="E11" s="18">
        <v>2820000</v>
      </c>
      <c r="F11" s="18">
        <f t="shared" si="0"/>
        <v>42300</v>
      </c>
    </row>
  </sheetData>
  <autoFilter ref="A2:F11" xr:uid="{00000000-0009-0000-0000-000004000000}">
    <filterColumn colId="3">
      <colorFilter dxfId="1" cellColor="0"/>
    </filterColumn>
  </autoFilter>
  <sortState xmlns:xlrd2="http://schemas.microsoft.com/office/spreadsheetml/2017/richdata2" ref="A3:F13">
    <sortCondition descending="1" ref="E2"/>
  </sortState>
  <phoneticPr fontId="2" type="noConversion"/>
  <conditionalFormatting sqref="D3:D11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E7"/>
  <sheetViews>
    <sheetView workbookViewId="0">
      <selection activeCell="H18" sqref="H18"/>
    </sheetView>
  </sheetViews>
  <sheetFormatPr defaultRowHeight="16.5"/>
  <cols>
    <col min="1" max="1" width="3.25" customWidth="1"/>
  </cols>
  <sheetData>
    <row r="1" spans="2:5">
      <c r="B1" s="34"/>
      <c r="C1" s="34"/>
      <c r="D1" s="34"/>
      <c r="E1" s="34"/>
    </row>
    <row r="2" spans="2:5">
      <c r="B2" s="35" t="s">
        <v>202</v>
      </c>
      <c r="C2" s="35"/>
      <c r="D2" s="35"/>
      <c r="E2" s="35"/>
    </row>
    <row r="3" spans="2:5">
      <c r="B3" s="36" t="s">
        <v>203</v>
      </c>
      <c r="C3" s="37" t="s">
        <v>204</v>
      </c>
      <c r="D3" s="37" t="s">
        <v>205</v>
      </c>
      <c r="E3" s="37" t="s">
        <v>206</v>
      </c>
    </row>
    <row r="4" spans="2:5">
      <c r="B4" s="38" t="s">
        <v>207</v>
      </c>
      <c r="C4" s="39">
        <v>270000</v>
      </c>
      <c r="D4" s="39">
        <v>200000</v>
      </c>
      <c r="E4" s="39">
        <v>220000</v>
      </c>
    </row>
    <row r="5" spans="2:5">
      <c r="B5" s="38" t="s">
        <v>208</v>
      </c>
      <c r="C5" s="39">
        <v>360000</v>
      </c>
      <c r="D5" s="39">
        <v>100000</v>
      </c>
      <c r="E5" s="39">
        <v>440000</v>
      </c>
    </row>
    <row r="6" spans="2:5">
      <c r="B6" s="38" t="s">
        <v>209</v>
      </c>
      <c r="C6" s="39">
        <v>200000</v>
      </c>
      <c r="D6" s="40">
        <v>0</v>
      </c>
      <c r="E6" s="39">
        <v>120000</v>
      </c>
    </row>
    <row r="7" spans="2:5">
      <c r="B7" s="38" t="s">
        <v>210</v>
      </c>
      <c r="C7" s="39">
        <v>300000</v>
      </c>
      <c r="D7" s="39">
        <v>440000</v>
      </c>
      <c r="E7" s="39">
        <v>480000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 filterMode="1"/>
  <dimension ref="A1:F13"/>
  <sheetViews>
    <sheetView tabSelected="1" workbookViewId="0">
      <selection activeCell="E2" sqref="E2"/>
    </sheetView>
  </sheetViews>
  <sheetFormatPr defaultRowHeight="16.5"/>
  <cols>
    <col min="2" max="2" width="10.375" bestFit="1" customWidth="1"/>
    <col min="3" max="4" width="9" bestFit="1" customWidth="1"/>
    <col min="5" max="5" width="10.375" bestFit="1" customWidth="1"/>
    <col min="6" max="6" width="9" bestFit="1" customWidth="1"/>
  </cols>
  <sheetData>
    <row r="1" spans="1:6">
      <c r="A1" s="11" t="s">
        <v>93</v>
      </c>
      <c r="B1" s="13"/>
      <c r="C1" s="13"/>
      <c r="D1" s="13"/>
      <c r="E1" s="13"/>
      <c r="F1" s="14"/>
    </row>
    <row r="2" spans="1:6" ht="17.25" thickBot="1">
      <c r="A2" s="15" t="s">
        <v>94</v>
      </c>
      <c r="B2" s="16" t="s">
        <v>95</v>
      </c>
      <c r="C2" s="16" t="s">
        <v>96</v>
      </c>
      <c r="D2" s="16" t="s">
        <v>97</v>
      </c>
      <c r="E2" s="16" t="s">
        <v>98</v>
      </c>
      <c r="F2" s="16" t="s">
        <v>99</v>
      </c>
    </row>
    <row r="3" spans="1:6" ht="17.25" thickTop="1">
      <c r="A3" s="17" t="s">
        <v>33</v>
      </c>
      <c r="B3" s="18">
        <v>2500000</v>
      </c>
      <c r="C3" s="18">
        <v>700000</v>
      </c>
      <c r="D3" s="18">
        <v>120000</v>
      </c>
      <c r="E3" s="18">
        <v>3020000</v>
      </c>
      <c r="F3" s="18">
        <f t="shared" ref="F3:F13" si="0">E3*1.5%</f>
        <v>45300</v>
      </c>
    </row>
    <row r="4" spans="1:6">
      <c r="A4" s="17" t="s">
        <v>54</v>
      </c>
      <c r="B4" s="18">
        <v>2400000</v>
      </c>
      <c r="C4" s="18">
        <v>700000</v>
      </c>
      <c r="D4" s="18">
        <v>90000</v>
      </c>
      <c r="E4" s="18">
        <v>2890000</v>
      </c>
      <c r="F4" s="18">
        <f t="shared" si="0"/>
        <v>43350</v>
      </c>
    </row>
    <row r="5" spans="1:6" hidden="1">
      <c r="A5" s="17" t="s">
        <v>66</v>
      </c>
      <c r="B5" s="18">
        <v>2500000</v>
      </c>
      <c r="C5" s="18">
        <v>500000</v>
      </c>
      <c r="D5" s="18">
        <v>120000</v>
      </c>
      <c r="E5" s="18">
        <v>2820000</v>
      </c>
      <c r="F5" s="18">
        <f t="shared" si="0"/>
        <v>42300</v>
      </c>
    </row>
    <row r="6" spans="1:6" hidden="1">
      <c r="A6" s="17" t="s">
        <v>249</v>
      </c>
      <c r="B6" s="18">
        <v>2300000</v>
      </c>
      <c r="C6" s="18">
        <v>700000</v>
      </c>
      <c r="D6" s="18">
        <v>30000</v>
      </c>
      <c r="E6" s="18">
        <v>2730000</v>
      </c>
      <c r="F6" s="18">
        <f t="shared" si="0"/>
        <v>40950</v>
      </c>
    </row>
    <row r="7" spans="1:6" hidden="1">
      <c r="A7" s="17" t="s">
        <v>59</v>
      </c>
      <c r="B7" s="18">
        <v>2500000</v>
      </c>
      <c r="C7" s="18">
        <v>500000</v>
      </c>
      <c r="D7" s="18">
        <v>30000</v>
      </c>
      <c r="E7" s="18">
        <v>2730000</v>
      </c>
      <c r="F7" s="18">
        <f t="shared" si="0"/>
        <v>40950</v>
      </c>
    </row>
    <row r="8" spans="1:6" hidden="1">
      <c r="A8" s="17" t="s">
        <v>29</v>
      </c>
      <c r="B8" s="18">
        <v>2500000</v>
      </c>
      <c r="C8" s="18">
        <v>400000</v>
      </c>
      <c r="D8" s="18">
        <v>60000</v>
      </c>
      <c r="E8" s="18">
        <v>2660000</v>
      </c>
      <c r="F8" s="18">
        <f t="shared" si="0"/>
        <v>39900</v>
      </c>
    </row>
    <row r="9" spans="1:6" hidden="1">
      <c r="A9" s="17" t="s">
        <v>55</v>
      </c>
      <c r="B9" s="18">
        <v>2400000</v>
      </c>
      <c r="C9" s="18">
        <v>500000</v>
      </c>
      <c r="D9" s="18">
        <v>30000</v>
      </c>
      <c r="E9" s="18">
        <v>2630000</v>
      </c>
      <c r="F9" s="18">
        <f t="shared" si="0"/>
        <v>39450</v>
      </c>
    </row>
    <row r="10" spans="1:6" hidden="1">
      <c r="A10" s="17" t="s">
        <v>62</v>
      </c>
      <c r="B10" s="18">
        <v>2300000</v>
      </c>
      <c r="C10" s="18">
        <v>500000</v>
      </c>
      <c r="D10" s="18">
        <v>120000</v>
      </c>
      <c r="E10" s="18">
        <v>2620000</v>
      </c>
      <c r="F10" s="18">
        <f t="shared" si="0"/>
        <v>39300</v>
      </c>
    </row>
    <row r="11" spans="1:6" hidden="1">
      <c r="A11" s="17" t="s">
        <v>57</v>
      </c>
      <c r="B11" s="18">
        <v>2400000</v>
      </c>
      <c r="C11" s="18">
        <v>400000</v>
      </c>
      <c r="D11" s="18">
        <v>90000</v>
      </c>
      <c r="E11" s="18">
        <v>2590000</v>
      </c>
      <c r="F11" s="18">
        <f t="shared" si="0"/>
        <v>38850</v>
      </c>
    </row>
    <row r="12" spans="1:6" hidden="1">
      <c r="A12" s="17" t="s">
        <v>59</v>
      </c>
      <c r="B12" s="18">
        <v>2300000</v>
      </c>
      <c r="C12" s="18">
        <v>500000</v>
      </c>
      <c r="D12" s="18">
        <v>60000</v>
      </c>
      <c r="E12" s="18">
        <v>2560000</v>
      </c>
      <c r="F12" s="18">
        <f t="shared" si="0"/>
        <v>38400</v>
      </c>
    </row>
    <row r="13" spans="1:6" hidden="1">
      <c r="A13" s="17" t="s">
        <v>38</v>
      </c>
      <c r="B13" s="18">
        <v>2300000</v>
      </c>
      <c r="C13" s="18">
        <v>400000</v>
      </c>
      <c r="D13" s="18">
        <v>150000</v>
      </c>
      <c r="E13" s="18">
        <v>2550000</v>
      </c>
      <c r="F13" s="18">
        <f t="shared" si="0"/>
        <v>38250</v>
      </c>
    </row>
  </sheetData>
  <autoFilter ref="A2:F13" xr:uid="{00000000-0009-0000-0000-000007000000}">
    <filterColumn colId="4">
      <top10 percent="1" val="20" filterVal="2890000"/>
    </filterColumn>
  </autoFilter>
  <sortState xmlns:xlrd2="http://schemas.microsoft.com/office/spreadsheetml/2017/richdata2" ref="A3:F13">
    <sortCondition descending="1" ref="E2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최고급여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최고급여취소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K16"/>
  <sheetViews>
    <sheetView workbookViewId="0">
      <selection activeCell="M31" sqref="M31"/>
    </sheetView>
  </sheetViews>
  <sheetFormatPr defaultColWidth="8.875" defaultRowHeight="16.5"/>
  <cols>
    <col min="1" max="1" width="8.625" style="41" customWidth="1"/>
    <col min="2" max="3" width="7.625" style="41" bestFit="1" customWidth="1"/>
    <col min="4" max="4" width="6.75" style="43" customWidth="1"/>
    <col min="5" max="5" width="7.625" style="41" bestFit="1" customWidth="1"/>
    <col min="6" max="6" width="9.25" style="41" bestFit="1" customWidth="1"/>
    <col min="7" max="7" width="6.25" style="41" customWidth="1"/>
    <col min="8" max="8" width="9.25" style="44" bestFit="1" customWidth="1"/>
    <col min="9" max="9" width="6.75" style="44" bestFit="1" customWidth="1"/>
    <col min="10" max="10" width="7.625" style="44" bestFit="1" customWidth="1"/>
    <col min="11" max="11" width="9.125" style="43" bestFit="1" customWidth="1"/>
    <col min="12" max="250" width="8.875" style="41"/>
    <col min="251" max="251" width="8.625" style="41" customWidth="1"/>
    <col min="252" max="253" width="7.625" style="41" bestFit="1" customWidth="1"/>
    <col min="254" max="254" width="4.375" style="41" bestFit="1" customWidth="1"/>
    <col min="255" max="256" width="7.625" style="41" bestFit="1" customWidth="1"/>
    <col min="257" max="257" width="6.25" style="41" customWidth="1"/>
    <col min="258" max="258" width="7.625" style="41" bestFit="1" customWidth="1"/>
    <col min="259" max="259" width="5.75" style="41" bestFit="1" customWidth="1"/>
    <col min="260" max="260" width="7.625" style="41" bestFit="1" customWidth="1"/>
    <col min="261" max="261" width="9.125" style="41" bestFit="1" customWidth="1"/>
    <col min="262" max="506" width="8.875" style="41"/>
    <col min="507" max="507" width="8.625" style="41" customWidth="1"/>
    <col min="508" max="509" width="7.625" style="41" bestFit="1" customWidth="1"/>
    <col min="510" max="510" width="4.375" style="41" bestFit="1" customWidth="1"/>
    <col min="511" max="512" width="7.625" style="41" bestFit="1" customWidth="1"/>
    <col min="513" max="513" width="6.25" style="41" customWidth="1"/>
    <col min="514" max="514" width="7.625" style="41" bestFit="1" customWidth="1"/>
    <col min="515" max="515" width="5.75" style="41" bestFit="1" customWidth="1"/>
    <col min="516" max="516" width="7.625" style="41" bestFit="1" customWidth="1"/>
    <col min="517" max="517" width="9.125" style="41" bestFit="1" customWidth="1"/>
    <col min="518" max="762" width="8.875" style="41"/>
    <col min="763" max="763" width="8.625" style="41" customWidth="1"/>
    <col min="764" max="765" width="7.625" style="41" bestFit="1" customWidth="1"/>
    <col min="766" max="766" width="4.375" style="41" bestFit="1" customWidth="1"/>
    <col min="767" max="768" width="7.625" style="41" bestFit="1" customWidth="1"/>
    <col min="769" max="769" width="6.25" style="41" customWidth="1"/>
    <col min="770" max="770" width="7.625" style="41" bestFit="1" customWidth="1"/>
    <col min="771" max="771" width="5.75" style="41" bestFit="1" customWidth="1"/>
    <col min="772" max="772" width="7.625" style="41" bestFit="1" customWidth="1"/>
    <col min="773" max="773" width="9.125" style="41" bestFit="1" customWidth="1"/>
    <col min="774" max="1018" width="8.875" style="41"/>
    <col min="1019" max="1019" width="8.625" style="41" customWidth="1"/>
    <col min="1020" max="1021" width="7.625" style="41" bestFit="1" customWidth="1"/>
    <col min="1022" max="1022" width="4.375" style="41" bestFit="1" customWidth="1"/>
    <col min="1023" max="1024" width="7.625" style="41" bestFit="1" customWidth="1"/>
    <col min="1025" max="1025" width="6.25" style="41" customWidth="1"/>
    <col min="1026" max="1026" width="7.625" style="41" bestFit="1" customWidth="1"/>
    <col min="1027" max="1027" width="5.75" style="41" bestFit="1" customWidth="1"/>
    <col min="1028" max="1028" width="7.625" style="41" bestFit="1" customWidth="1"/>
    <col min="1029" max="1029" width="9.125" style="41" bestFit="1" customWidth="1"/>
    <col min="1030" max="1274" width="8.875" style="41"/>
    <col min="1275" max="1275" width="8.625" style="41" customWidth="1"/>
    <col min="1276" max="1277" width="7.625" style="41" bestFit="1" customWidth="1"/>
    <col min="1278" max="1278" width="4.375" style="41" bestFit="1" customWidth="1"/>
    <col min="1279" max="1280" width="7.625" style="41" bestFit="1" customWidth="1"/>
    <col min="1281" max="1281" width="6.25" style="41" customWidth="1"/>
    <col min="1282" max="1282" width="7.625" style="41" bestFit="1" customWidth="1"/>
    <col min="1283" max="1283" width="5.75" style="41" bestFit="1" customWidth="1"/>
    <col min="1284" max="1284" width="7.625" style="41" bestFit="1" customWidth="1"/>
    <col min="1285" max="1285" width="9.125" style="41" bestFit="1" customWidth="1"/>
    <col min="1286" max="1530" width="8.875" style="41"/>
    <col min="1531" max="1531" width="8.625" style="41" customWidth="1"/>
    <col min="1532" max="1533" width="7.625" style="41" bestFit="1" customWidth="1"/>
    <col min="1534" max="1534" width="4.375" style="41" bestFit="1" customWidth="1"/>
    <col min="1535" max="1536" width="7.625" style="41" bestFit="1" customWidth="1"/>
    <col min="1537" max="1537" width="6.25" style="41" customWidth="1"/>
    <col min="1538" max="1538" width="7.625" style="41" bestFit="1" customWidth="1"/>
    <col min="1539" max="1539" width="5.75" style="41" bestFit="1" customWidth="1"/>
    <col min="1540" max="1540" width="7.625" style="41" bestFit="1" customWidth="1"/>
    <col min="1541" max="1541" width="9.125" style="41" bestFit="1" customWidth="1"/>
    <col min="1542" max="1786" width="8.875" style="41"/>
    <col min="1787" max="1787" width="8.625" style="41" customWidth="1"/>
    <col min="1788" max="1789" width="7.625" style="41" bestFit="1" customWidth="1"/>
    <col min="1790" max="1790" width="4.375" style="41" bestFit="1" customWidth="1"/>
    <col min="1791" max="1792" width="7.625" style="41" bestFit="1" customWidth="1"/>
    <col min="1793" max="1793" width="6.25" style="41" customWidth="1"/>
    <col min="1794" max="1794" width="7.625" style="41" bestFit="1" customWidth="1"/>
    <col min="1795" max="1795" width="5.75" style="41" bestFit="1" customWidth="1"/>
    <col min="1796" max="1796" width="7.625" style="41" bestFit="1" customWidth="1"/>
    <col min="1797" max="1797" width="9.125" style="41" bestFit="1" customWidth="1"/>
    <col min="1798" max="2042" width="8.875" style="41"/>
    <col min="2043" max="2043" width="8.625" style="41" customWidth="1"/>
    <col min="2044" max="2045" width="7.625" style="41" bestFit="1" customWidth="1"/>
    <col min="2046" max="2046" width="4.375" style="41" bestFit="1" customWidth="1"/>
    <col min="2047" max="2048" width="7.625" style="41" bestFit="1" customWidth="1"/>
    <col min="2049" max="2049" width="6.25" style="41" customWidth="1"/>
    <col min="2050" max="2050" width="7.625" style="41" bestFit="1" customWidth="1"/>
    <col min="2051" max="2051" width="5.75" style="41" bestFit="1" customWidth="1"/>
    <col min="2052" max="2052" width="7.625" style="41" bestFit="1" customWidth="1"/>
    <col min="2053" max="2053" width="9.125" style="41" bestFit="1" customWidth="1"/>
    <col min="2054" max="2298" width="8.875" style="41"/>
    <col min="2299" max="2299" width="8.625" style="41" customWidth="1"/>
    <col min="2300" max="2301" width="7.625" style="41" bestFit="1" customWidth="1"/>
    <col min="2302" max="2302" width="4.375" style="41" bestFit="1" customWidth="1"/>
    <col min="2303" max="2304" width="7.625" style="41" bestFit="1" customWidth="1"/>
    <col min="2305" max="2305" width="6.25" style="41" customWidth="1"/>
    <col min="2306" max="2306" width="7.625" style="41" bestFit="1" customWidth="1"/>
    <col min="2307" max="2307" width="5.75" style="41" bestFit="1" customWidth="1"/>
    <col min="2308" max="2308" width="7.625" style="41" bestFit="1" customWidth="1"/>
    <col min="2309" max="2309" width="9.125" style="41" bestFit="1" customWidth="1"/>
    <col min="2310" max="2554" width="8.875" style="41"/>
    <col min="2555" max="2555" width="8.625" style="41" customWidth="1"/>
    <col min="2556" max="2557" width="7.625" style="41" bestFit="1" customWidth="1"/>
    <col min="2558" max="2558" width="4.375" style="41" bestFit="1" customWidth="1"/>
    <col min="2559" max="2560" width="7.625" style="41" bestFit="1" customWidth="1"/>
    <col min="2561" max="2561" width="6.25" style="41" customWidth="1"/>
    <col min="2562" max="2562" width="7.625" style="41" bestFit="1" customWidth="1"/>
    <col min="2563" max="2563" width="5.75" style="41" bestFit="1" customWidth="1"/>
    <col min="2564" max="2564" width="7.625" style="41" bestFit="1" customWidth="1"/>
    <col min="2565" max="2565" width="9.125" style="41" bestFit="1" customWidth="1"/>
    <col min="2566" max="2810" width="8.875" style="41"/>
    <col min="2811" max="2811" width="8.625" style="41" customWidth="1"/>
    <col min="2812" max="2813" width="7.625" style="41" bestFit="1" customWidth="1"/>
    <col min="2814" max="2814" width="4.375" style="41" bestFit="1" customWidth="1"/>
    <col min="2815" max="2816" width="7.625" style="41" bestFit="1" customWidth="1"/>
    <col min="2817" max="2817" width="6.25" style="41" customWidth="1"/>
    <col min="2818" max="2818" width="7.625" style="41" bestFit="1" customWidth="1"/>
    <col min="2819" max="2819" width="5.75" style="41" bestFit="1" customWidth="1"/>
    <col min="2820" max="2820" width="7.625" style="41" bestFit="1" customWidth="1"/>
    <col min="2821" max="2821" width="9.125" style="41" bestFit="1" customWidth="1"/>
    <col min="2822" max="3066" width="8.875" style="41"/>
    <col min="3067" max="3067" width="8.625" style="41" customWidth="1"/>
    <col min="3068" max="3069" width="7.625" style="41" bestFit="1" customWidth="1"/>
    <col min="3070" max="3070" width="4.375" style="41" bestFit="1" customWidth="1"/>
    <col min="3071" max="3072" width="7.625" style="41" bestFit="1" customWidth="1"/>
    <col min="3073" max="3073" width="6.25" style="41" customWidth="1"/>
    <col min="3074" max="3074" width="7.625" style="41" bestFit="1" customWidth="1"/>
    <col min="3075" max="3075" width="5.75" style="41" bestFit="1" customWidth="1"/>
    <col min="3076" max="3076" width="7.625" style="41" bestFit="1" customWidth="1"/>
    <col min="3077" max="3077" width="9.125" style="41" bestFit="1" customWidth="1"/>
    <col min="3078" max="3322" width="8.875" style="41"/>
    <col min="3323" max="3323" width="8.625" style="41" customWidth="1"/>
    <col min="3324" max="3325" width="7.625" style="41" bestFit="1" customWidth="1"/>
    <col min="3326" max="3326" width="4.375" style="41" bestFit="1" customWidth="1"/>
    <col min="3327" max="3328" width="7.625" style="41" bestFit="1" customWidth="1"/>
    <col min="3329" max="3329" width="6.25" style="41" customWidth="1"/>
    <col min="3330" max="3330" width="7.625" style="41" bestFit="1" customWidth="1"/>
    <col min="3331" max="3331" width="5.75" style="41" bestFit="1" customWidth="1"/>
    <col min="3332" max="3332" width="7.625" style="41" bestFit="1" customWidth="1"/>
    <col min="3333" max="3333" width="9.125" style="41" bestFit="1" customWidth="1"/>
    <col min="3334" max="3578" width="8.875" style="41"/>
    <col min="3579" max="3579" width="8.625" style="41" customWidth="1"/>
    <col min="3580" max="3581" width="7.625" style="41" bestFit="1" customWidth="1"/>
    <col min="3582" max="3582" width="4.375" style="41" bestFit="1" customWidth="1"/>
    <col min="3583" max="3584" width="7.625" style="41" bestFit="1" customWidth="1"/>
    <col min="3585" max="3585" width="6.25" style="41" customWidth="1"/>
    <col min="3586" max="3586" width="7.625" style="41" bestFit="1" customWidth="1"/>
    <col min="3587" max="3587" width="5.75" style="41" bestFit="1" customWidth="1"/>
    <col min="3588" max="3588" width="7.625" style="41" bestFit="1" customWidth="1"/>
    <col min="3589" max="3589" width="9.125" style="41" bestFit="1" customWidth="1"/>
    <col min="3590" max="3834" width="8.875" style="41"/>
    <col min="3835" max="3835" width="8.625" style="41" customWidth="1"/>
    <col min="3836" max="3837" width="7.625" style="41" bestFit="1" customWidth="1"/>
    <col min="3838" max="3838" width="4.375" style="41" bestFit="1" customWidth="1"/>
    <col min="3839" max="3840" width="7.625" style="41" bestFit="1" customWidth="1"/>
    <col min="3841" max="3841" width="6.25" style="41" customWidth="1"/>
    <col min="3842" max="3842" width="7.625" style="41" bestFit="1" customWidth="1"/>
    <col min="3843" max="3843" width="5.75" style="41" bestFit="1" customWidth="1"/>
    <col min="3844" max="3844" width="7.625" style="41" bestFit="1" customWidth="1"/>
    <col min="3845" max="3845" width="9.125" style="41" bestFit="1" customWidth="1"/>
    <col min="3846" max="4090" width="8.875" style="41"/>
    <col min="4091" max="4091" width="8.625" style="41" customWidth="1"/>
    <col min="4092" max="4093" width="7.625" style="41" bestFit="1" customWidth="1"/>
    <col min="4094" max="4094" width="4.375" style="41" bestFit="1" customWidth="1"/>
    <col min="4095" max="4096" width="7.625" style="41" bestFit="1" customWidth="1"/>
    <col min="4097" max="4097" width="6.25" style="41" customWidth="1"/>
    <col min="4098" max="4098" width="7.625" style="41" bestFit="1" customWidth="1"/>
    <col min="4099" max="4099" width="5.75" style="41" bestFit="1" customWidth="1"/>
    <col min="4100" max="4100" width="7.625" style="41" bestFit="1" customWidth="1"/>
    <col min="4101" max="4101" width="9.125" style="41" bestFit="1" customWidth="1"/>
    <col min="4102" max="4346" width="8.875" style="41"/>
    <col min="4347" max="4347" width="8.625" style="41" customWidth="1"/>
    <col min="4348" max="4349" width="7.625" style="41" bestFit="1" customWidth="1"/>
    <col min="4350" max="4350" width="4.375" style="41" bestFit="1" customWidth="1"/>
    <col min="4351" max="4352" width="7.625" style="41" bestFit="1" customWidth="1"/>
    <col min="4353" max="4353" width="6.25" style="41" customWidth="1"/>
    <col min="4354" max="4354" width="7.625" style="41" bestFit="1" customWidth="1"/>
    <col min="4355" max="4355" width="5.75" style="41" bestFit="1" customWidth="1"/>
    <col min="4356" max="4356" width="7.625" style="41" bestFit="1" customWidth="1"/>
    <col min="4357" max="4357" width="9.125" style="41" bestFit="1" customWidth="1"/>
    <col min="4358" max="4602" width="8.875" style="41"/>
    <col min="4603" max="4603" width="8.625" style="41" customWidth="1"/>
    <col min="4604" max="4605" width="7.625" style="41" bestFit="1" customWidth="1"/>
    <col min="4606" max="4606" width="4.375" style="41" bestFit="1" customWidth="1"/>
    <col min="4607" max="4608" width="7.625" style="41" bestFit="1" customWidth="1"/>
    <col min="4609" max="4609" width="6.25" style="41" customWidth="1"/>
    <col min="4610" max="4610" width="7.625" style="41" bestFit="1" customWidth="1"/>
    <col min="4611" max="4611" width="5.75" style="41" bestFit="1" customWidth="1"/>
    <col min="4612" max="4612" width="7.625" style="41" bestFit="1" customWidth="1"/>
    <col min="4613" max="4613" width="9.125" style="41" bestFit="1" customWidth="1"/>
    <col min="4614" max="4858" width="8.875" style="41"/>
    <col min="4859" max="4859" width="8.625" style="41" customWidth="1"/>
    <col min="4860" max="4861" width="7.625" style="41" bestFit="1" customWidth="1"/>
    <col min="4862" max="4862" width="4.375" style="41" bestFit="1" customWidth="1"/>
    <col min="4863" max="4864" width="7.625" style="41" bestFit="1" customWidth="1"/>
    <col min="4865" max="4865" width="6.25" style="41" customWidth="1"/>
    <col min="4866" max="4866" width="7.625" style="41" bestFit="1" customWidth="1"/>
    <col min="4867" max="4867" width="5.75" style="41" bestFit="1" customWidth="1"/>
    <col min="4868" max="4868" width="7.625" style="41" bestFit="1" customWidth="1"/>
    <col min="4869" max="4869" width="9.125" style="41" bestFit="1" customWidth="1"/>
    <col min="4870" max="5114" width="8.875" style="41"/>
    <col min="5115" max="5115" width="8.625" style="41" customWidth="1"/>
    <col min="5116" max="5117" width="7.625" style="41" bestFit="1" customWidth="1"/>
    <col min="5118" max="5118" width="4.375" style="41" bestFit="1" customWidth="1"/>
    <col min="5119" max="5120" width="7.625" style="41" bestFit="1" customWidth="1"/>
    <col min="5121" max="5121" width="6.25" style="41" customWidth="1"/>
    <col min="5122" max="5122" width="7.625" style="41" bestFit="1" customWidth="1"/>
    <col min="5123" max="5123" width="5.75" style="41" bestFit="1" customWidth="1"/>
    <col min="5124" max="5124" width="7.625" style="41" bestFit="1" customWidth="1"/>
    <col min="5125" max="5125" width="9.125" style="41" bestFit="1" customWidth="1"/>
    <col min="5126" max="5370" width="8.875" style="41"/>
    <col min="5371" max="5371" width="8.625" style="41" customWidth="1"/>
    <col min="5372" max="5373" width="7.625" style="41" bestFit="1" customWidth="1"/>
    <col min="5374" max="5374" width="4.375" style="41" bestFit="1" customWidth="1"/>
    <col min="5375" max="5376" width="7.625" style="41" bestFit="1" customWidth="1"/>
    <col min="5377" max="5377" width="6.25" style="41" customWidth="1"/>
    <col min="5378" max="5378" width="7.625" style="41" bestFit="1" customWidth="1"/>
    <col min="5379" max="5379" width="5.75" style="41" bestFit="1" customWidth="1"/>
    <col min="5380" max="5380" width="7.625" style="41" bestFit="1" customWidth="1"/>
    <col min="5381" max="5381" width="9.125" style="41" bestFit="1" customWidth="1"/>
    <col min="5382" max="5626" width="8.875" style="41"/>
    <col min="5627" max="5627" width="8.625" style="41" customWidth="1"/>
    <col min="5628" max="5629" width="7.625" style="41" bestFit="1" customWidth="1"/>
    <col min="5630" max="5630" width="4.375" style="41" bestFit="1" customWidth="1"/>
    <col min="5631" max="5632" width="7.625" style="41" bestFit="1" customWidth="1"/>
    <col min="5633" max="5633" width="6.25" style="41" customWidth="1"/>
    <col min="5634" max="5634" width="7.625" style="41" bestFit="1" customWidth="1"/>
    <col min="5635" max="5635" width="5.75" style="41" bestFit="1" customWidth="1"/>
    <col min="5636" max="5636" width="7.625" style="41" bestFit="1" customWidth="1"/>
    <col min="5637" max="5637" width="9.125" style="41" bestFit="1" customWidth="1"/>
    <col min="5638" max="5882" width="8.875" style="41"/>
    <col min="5883" max="5883" width="8.625" style="41" customWidth="1"/>
    <col min="5884" max="5885" width="7.625" style="41" bestFit="1" customWidth="1"/>
    <col min="5886" max="5886" width="4.375" style="41" bestFit="1" customWidth="1"/>
    <col min="5887" max="5888" width="7.625" style="41" bestFit="1" customWidth="1"/>
    <col min="5889" max="5889" width="6.25" style="41" customWidth="1"/>
    <col min="5890" max="5890" width="7.625" style="41" bestFit="1" customWidth="1"/>
    <col min="5891" max="5891" width="5.75" style="41" bestFit="1" customWidth="1"/>
    <col min="5892" max="5892" width="7.625" style="41" bestFit="1" customWidth="1"/>
    <col min="5893" max="5893" width="9.125" style="41" bestFit="1" customWidth="1"/>
    <col min="5894" max="6138" width="8.875" style="41"/>
    <col min="6139" max="6139" width="8.625" style="41" customWidth="1"/>
    <col min="6140" max="6141" width="7.625" style="41" bestFit="1" customWidth="1"/>
    <col min="6142" max="6142" width="4.375" style="41" bestFit="1" customWidth="1"/>
    <col min="6143" max="6144" width="7.625" style="41" bestFit="1" customWidth="1"/>
    <col min="6145" max="6145" width="6.25" style="41" customWidth="1"/>
    <col min="6146" max="6146" width="7.625" style="41" bestFit="1" customWidth="1"/>
    <col min="6147" max="6147" width="5.75" style="41" bestFit="1" customWidth="1"/>
    <col min="6148" max="6148" width="7.625" style="41" bestFit="1" customWidth="1"/>
    <col min="6149" max="6149" width="9.125" style="41" bestFit="1" customWidth="1"/>
    <col min="6150" max="6394" width="8.875" style="41"/>
    <col min="6395" max="6395" width="8.625" style="41" customWidth="1"/>
    <col min="6396" max="6397" width="7.625" style="41" bestFit="1" customWidth="1"/>
    <col min="6398" max="6398" width="4.375" style="41" bestFit="1" customWidth="1"/>
    <col min="6399" max="6400" width="7.625" style="41" bestFit="1" customWidth="1"/>
    <col min="6401" max="6401" width="6.25" style="41" customWidth="1"/>
    <col min="6402" max="6402" width="7.625" style="41" bestFit="1" customWidth="1"/>
    <col min="6403" max="6403" width="5.75" style="41" bestFit="1" customWidth="1"/>
    <col min="6404" max="6404" width="7.625" style="41" bestFit="1" customWidth="1"/>
    <col min="6405" max="6405" width="9.125" style="41" bestFit="1" customWidth="1"/>
    <col min="6406" max="6650" width="8.875" style="41"/>
    <col min="6651" max="6651" width="8.625" style="41" customWidth="1"/>
    <col min="6652" max="6653" width="7.625" style="41" bestFit="1" customWidth="1"/>
    <col min="6654" max="6654" width="4.375" style="41" bestFit="1" customWidth="1"/>
    <col min="6655" max="6656" width="7.625" style="41" bestFit="1" customWidth="1"/>
    <col min="6657" max="6657" width="6.25" style="41" customWidth="1"/>
    <col min="6658" max="6658" width="7.625" style="41" bestFit="1" customWidth="1"/>
    <col min="6659" max="6659" width="5.75" style="41" bestFit="1" customWidth="1"/>
    <col min="6660" max="6660" width="7.625" style="41" bestFit="1" customWidth="1"/>
    <col min="6661" max="6661" width="9.125" style="41" bestFit="1" customWidth="1"/>
    <col min="6662" max="6906" width="8.875" style="41"/>
    <col min="6907" max="6907" width="8.625" style="41" customWidth="1"/>
    <col min="6908" max="6909" width="7.625" style="41" bestFit="1" customWidth="1"/>
    <col min="6910" max="6910" width="4.375" style="41" bestFit="1" customWidth="1"/>
    <col min="6911" max="6912" width="7.625" style="41" bestFit="1" customWidth="1"/>
    <col min="6913" max="6913" width="6.25" style="41" customWidth="1"/>
    <col min="6914" max="6914" width="7.625" style="41" bestFit="1" customWidth="1"/>
    <col min="6915" max="6915" width="5.75" style="41" bestFit="1" customWidth="1"/>
    <col min="6916" max="6916" width="7.625" style="41" bestFit="1" customWidth="1"/>
    <col min="6917" max="6917" width="9.125" style="41" bestFit="1" customWidth="1"/>
    <col min="6918" max="7162" width="8.875" style="41"/>
    <col min="7163" max="7163" width="8.625" style="41" customWidth="1"/>
    <col min="7164" max="7165" width="7.625" style="41" bestFit="1" customWidth="1"/>
    <col min="7166" max="7166" width="4.375" style="41" bestFit="1" customWidth="1"/>
    <col min="7167" max="7168" width="7.625" style="41" bestFit="1" customWidth="1"/>
    <col min="7169" max="7169" width="6.25" style="41" customWidth="1"/>
    <col min="7170" max="7170" width="7.625" style="41" bestFit="1" customWidth="1"/>
    <col min="7171" max="7171" width="5.75" style="41" bestFit="1" customWidth="1"/>
    <col min="7172" max="7172" width="7.625" style="41" bestFit="1" customWidth="1"/>
    <col min="7173" max="7173" width="9.125" style="41" bestFit="1" customWidth="1"/>
    <col min="7174" max="7418" width="8.875" style="41"/>
    <col min="7419" max="7419" width="8.625" style="41" customWidth="1"/>
    <col min="7420" max="7421" width="7.625" style="41" bestFit="1" customWidth="1"/>
    <col min="7422" max="7422" width="4.375" style="41" bestFit="1" customWidth="1"/>
    <col min="7423" max="7424" width="7.625" style="41" bestFit="1" customWidth="1"/>
    <col min="7425" max="7425" width="6.25" style="41" customWidth="1"/>
    <col min="7426" max="7426" width="7.625" style="41" bestFit="1" customWidth="1"/>
    <col min="7427" max="7427" width="5.75" style="41" bestFit="1" customWidth="1"/>
    <col min="7428" max="7428" width="7.625" style="41" bestFit="1" customWidth="1"/>
    <col min="7429" max="7429" width="9.125" style="41" bestFit="1" customWidth="1"/>
    <col min="7430" max="7674" width="8.875" style="41"/>
    <col min="7675" max="7675" width="8.625" style="41" customWidth="1"/>
    <col min="7676" max="7677" width="7.625" style="41" bestFit="1" customWidth="1"/>
    <col min="7678" max="7678" width="4.375" style="41" bestFit="1" customWidth="1"/>
    <col min="7679" max="7680" width="7.625" style="41" bestFit="1" customWidth="1"/>
    <col min="7681" max="7681" width="6.25" style="41" customWidth="1"/>
    <col min="7682" max="7682" width="7.625" style="41" bestFit="1" customWidth="1"/>
    <col min="7683" max="7683" width="5.75" style="41" bestFit="1" customWidth="1"/>
    <col min="7684" max="7684" width="7.625" style="41" bestFit="1" customWidth="1"/>
    <col min="7685" max="7685" width="9.125" style="41" bestFit="1" customWidth="1"/>
    <col min="7686" max="7930" width="8.875" style="41"/>
    <col min="7931" max="7931" width="8.625" style="41" customWidth="1"/>
    <col min="7932" max="7933" width="7.625" style="41" bestFit="1" customWidth="1"/>
    <col min="7934" max="7934" width="4.375" style="41" bestFit="1" customWidth="1"/>
    <col min="7935" max="7936" width="7.625" style="41" bestFit="1" customWidth="1"/>
    <col min="7937" max="7937" width="6.25" style="41" customWidth="1"/>
    <col min="7938" max="7938" width="7.625" style="41" bestFit="1" customWidth="1"/>
    <col min="7939" max="7939" width="5.75" style="41" bestFit="1" customWidth="1"/>
    <col min="7940" max="7940" width="7.625" style="41" bestFit="1" customWidth="1"/>
    <col min="7941" max="7941" width="9.125" style="41" bestFit="1" customWidth="1"/>
    <col min="7942" max="8186" width="8.875" style="41"/>
    <col min="8187" max="8187" width="8.625" style="41" customWidth="1"/>
    <col min="8188" max="8189" width="7.625" style="41" bestFit="1" customWidth="1"/>
    <col min="8190" max="8190" width="4.375" style="41" bestFit="1" customWidth="1"/>
    <col min="8191" max="8192" width="7.625" style="41" bestFit="1" customWidth="1"/>
    <col min="8193" max="8193" width="6.25" style="41" customWidth="1"/>
    <col min="8194" max="8194" width="7.625" style="41" bestFit="1" customWidth="1"/>
    <col min="8195" max="8195" width="5.75" style="41" bestFit="1" customWidth="1"/>
    <col min="8196" max="8196" width="7.625" style="41" bestFit="1" customWidth="1"/>
    <col min="8197" max="8197" width="9.125" style="41" bestFit="1" customWidth="1"/>
    <col min="8198" max="8442" width="8.875" style="41"/>
    <col min="8443" max="8443" width="8.625" style="41" customWidth="1"/>
    <col min="8444" max="8445" width="7.625" style="41" bestFit="1" customWidth="1"/>
    <col min="8446" max="8446" width="4.375" style="41" bestFit="1" customWidth="1"/>
    <col min="8447" max="8448" width="7.625" style="41" bestFit="1" customWidth="1"/>
    <col min="8449" max="8449" width="6.25" style="41" customWidth="1"/>
    <col min="8450" max="8450" width="7.625" style="41" bestFit="1" customWidth="1"/>
    <col min="8451" max="8451" width="5.75" style="41" bestFit="1" customWidth="1"/>
    <col min="8452" max="8452" width="7.625" style="41" bestFit="1" customWidth="1"/>
    <col min="8453" max="8453" width="9.125" style="41" bestFit="1" customWidth="1"/>
    <col min="8454" max="8698" width="8.875" style="41"/>
    <col min="8699" max="8699" width="8.625" style="41" customWidth="1"/>
    <col min="8700" max="8701" width="7.625" style="41" bestFit="1" customWidth="1"/>
    <col min="8702" max="8702" width="4.375" style="41" bestFit="1" customWidth="1"/>
    <col min="8703" max="8704" width="7.625" style="41" bestFit="1" customWidth="1"/>
    <col min="8705" max="8705" width="6.25" style="41" customWidth="1"/>
    <col min="8706" max="8706" width="7.625" style="41" bestFit="1" customWidth="1"/>
    <col min="8707" max="8707" width="5.75" style="41" bestFit="1" customWidth="1"/>
    <col min="8708" max="8708" width="7.625" style="41" bestFit="1" customWidth="1"/>
    <col min="8709" max="8709" width="9.125" style="41" bestFit="1" customWidth="1"/>
    <col min="8710" max="8954" width="8.875" style="41"/>
    <col min="8955" max="8955" width="8.625" style="41" customWidth="1"/>
    <col min="8956" max="8957" width="7.625" style="41" bestFit="1" customWidth="1"/>
    <col min="8958" max="8958" width="4.375" style="41" bestFit="1" customWidth="1"/>
    <col min="8959" max="8960" width="7.625" style="41" bestFit="1" customWidth="1"/>
    <col min="8961" max="8961" width="6.25" style="41" customWidth="1"/>
    <col min="8962" max="8962" width="7.625" style="41" bestFit="1" customWidth="1"/>
    <col min="8963" max="8963" width="5.75" style="41" bestFit="1" customWidth="1"/>
    <col min="8964" max="8964" width="7.625" style="41" bestFit="1" customWidth="1"/>
    <col min="8965" max="8965" width="9.125" style="41" bestFit="1" customWidth="1"/>
    <col min="8966" max="9210" width="8.875" style="41"/>
    <col min="9211" max="9211" width="8.625" style="41" customWidth="1"/>
    <col min="9212" max="9213" width="7.625" style="41" bestFit="1" customWidth="1"/>
    <col min="9214" max="9214" width="4.375" style="41" bestFit="1" customWidth="1"/>
    <col min="9215" max="9216" width="7.625" style="41" bestFit="1" customWidth="1"/>
    <col min="9217" max="9217" width="6.25" style="41" customWidth="1"/>
    <col min="9218" max="9218" width="7.625" style="41" bestFit="1" customWidth="1"/>
    <col min="9219" max="9219" width="5.75" style="41" bestFit="1" customWidth="1"/>
    <col min="9220" max="9220" width="7.625" style="41" bestFit="1" customWidth="1"/>
    <col min="9221" max="9221" width="9.125" style="41" bestFit="1" customWidth="1"/>
    <col min="9222" max="9466" width="8.875" style="41"/>
    <col min="9467" max="9467" width="8.625" style="41" customWidth="1"/>
    <col min="9468" max="9469" width="7.625" style="41" bestFit="1" customWidth="1"/>
    <col min="9470" max="9470" width="4.375" style="41" bestFit="1" customWidth="1"/>
    <col min="9471" max="9472" width="7.625" style="41" bestFit="1" customWidth="1"/>
    <col min="9473" max="9473" width="6.25" style="41" customWidth="1"/>
    <col min="9474" max="9474" width="7.625" style="41" bestFit="1" customWidth="1"/>
    <col min="9475" max="9475" width="5.75" style="41" bestFit="1" customWidth="1"/>
    <col min="9476" max="9476" width="7.625" style="41" bestFit="1" customWidth="1"/>
    <col min="9477" max="9477" width="9.125" style="41" bestFit="1" customWidth="1"/>
    <col min="9478" max="9722" width="8.875" style="41"/>
    <col min="9723" max="9723" width="8.625" style="41" customWidth="1"/>
    <col min="9724" max="9725" width="7.625" style="41" bestFit="1" customWidth="1"/>
    <col min="9726" max="9726" width="4.375" style="41" bestFit="1" customWidth="1"/>
    <col min="9727" max="9728" width="7.625" style="41" bestFit="1" customWidth="1"/>
    <col min="9729" max="9729" width="6.25" style="41" customWidth="1"/>
    <col min="9730" max="9730" width="7.625" style="41" bestFit="1" customWidth="1"/>
    <col min="9731" max="9731" width="5.75" style="41" bestFit="1" customWidth="1"/>
    <col min="9732" max="9732" width="7.625" style="41" bestFit="1" customWidth="1"/>
    <col min="9733" max="9733" width="9.125" style="41" bestFit="1" customWidth="1"/>
    <col min="9734" max="9978" width="8.875" style="41"/>
    <col min="9979" max="9979" width="8.625" style="41" customWidth="1"/>
    <col min="9980" max="9981" width="7.625" style="41" bestFit="1" customWidth="1"/>
    <col min="9982" max="9982" width="4.375" style="41" bestFit="1" customWidth="1"/>
    <col min="9983" max="9984" width="7.625" style="41" bestFit="1" customWidth="1"/>
    <col min="9985" max="9985" width="6.25" style="41" customWidth="1"/>
    <col min="9986" max="9986" width="7.625" style="41" bestFit="1" customWidth="1"/>
    <col min="9987" max="9987" width="5.75" style="41" bestFit="1" customWidth="1"/>
    <col min="9988" max="9988" width="7.625" style="41" bestFit="1" customWidth="1"/>
    <col min="9989" max="9989" width="9.125" style="41" bestFit="1" customWidth="1"/>
    <col min="9990" max="10234" width="8.875" style="41"/>
    <col min="10235" max="10235" width="8.625" style="41" customWidth="1"/>
    <col min="10236" max="10237" width="7.625" style="41" bestFit="1" customWidth="1"/>
    <col min="10238" max="10238" width="4.375" style="41" bestFit="1" customWidth="1"/>
    <col min="10239" max="10240" width="7.625" style="41" bestFit="1" customWidth="1"/>
    <col min="10241" max="10241" width="6.25" style="41" customWidth="1"/>
    <col min="10242" max="10242" width="7.625" style="41" bestFit="1" customWidth="1"/>
    <col min="10243" max="10243" width="5.75" style="41" bestFit="1" customWidth="1"/>
    <col min="10244" max="10244" width="7.625" style="41" bestFit="1" customWidth="1"/>
    <col min="10245" max="10245" width="9.125" style="41" bestFit="1" customWidth="1"/>
    <col min="10246" max="10490" width="8.875" style="41"/>
    <col min="10491" max="10491" width="8.625" style="41" customWidth="1"/>
    <col min="10492" max="10493" width="7.625" style="41" bestFit="1" customWidth="1"/>
    <col min="10494" max="10494" width="4.375" style="41" bestFit="1" customWidth="1"/>
    <col min="10495" max="10496" width="7.625" style="41" bestFit="1" customWidth="1"/>
    <col min="10497" max="10497" width="6.25" style="41" customWidth="1"/>
    <col min="10498" max="10498" width="7.625" style="41" bestFit="1" customWidth="1"/>
    <col min="10499" max="10499" width="5.75" style="41" bestFit="1" customWidth="1"/>
    <col min="10500" max="10500" width="7.625" style="41" bestFit="1" customWidth="1"/>
    <col min="10501" max="10501" width="9.125" style="41" bestFit="1" customWidth="1"/>
    <col min="10502" max="10746" width="8.875" style="41"/>
    <col min="10747" max="10747" width="8.625" style="41" customWidth="1"/>
    <col min="10748" max="10749" width="7.625" style="41" bestFit="1" customWidth="1"/>
    <col min="10750" max="10750" width="4.375" style="41" bestFit="1" customWidth="1"/>
    <col min="10751" max="10752" width="7.625" style="41" bestFit="1" customWidth="1"/>
    <col min="10753" max="10753" width="6.25" style="41" customWidth="1"/>
    <col min="10754" max="10754" width="7.625" style="41" bestFit="1" customWidth="1"/>
    <col min="10755" max="10755" width="5.75" style="41" bestFit="1" customWidth="1"/>
    <col min="10756" max="10756" width="7.625" style="41" bestFit="1" customWidth="1"/>
    <col min="10757" max="10757" width="9.125" style="41" bestFit="1" customWidth="1"/>
    <col min="10758" max="11002" width="8.875" style="41"/>
    <col min="11003" max="11003" width="8.625" style="41" customWidth="1"/>
    <col min="11004" max="11005" width="7.625" style="41" bestFit="1" customWidth="1"/>
    <col min="11006" max="11006" width="4.375" style="41" bestFit="1" customWidth="1"/>
    <col min="11007" max="11008" width="7.625" style="41" bestFit="1" customWidth="1"/>
    <col min="11009" max="11009" width="6.25" style="41" customWidth="1"/>
    <col min="11010" max="11010" width="7.625" style="41" bestFit="1" customWidth="1"/>
    <col min="11011" max="11011" width="5.75" style="41" bestFit="1" customWidth="1"/>
    <col min="11012" max="11012" width="7.625" style="41" bestFit="1" customWidth="1"/>
    <col min="11013" max="11013" width="9.125" style="41" bestFit="1" customWidth="1"/>
    <col min="11014" max="11258" width="8.875" style="41"/>
    <col min="11259" max="11259" width="8.625" style="41" customWidth="1"/>
    <col min="11260" max="11261" width="7.625" style="41" bestFit="1" customWidth="1"/>
    <col min="11262" max="11262" width="4.375" style="41" bestFit="1" customWidth="1"/>
    <col min="11263" max="11264" width="7.625" style="41" bestFit="1" customWidth="1"/>
    <col min="11265" max="11265" width="6.25" style="41" customWidth="1"/>
    <col min="11266" max="11266" width="7.625" style="41" bestFit="1" customWidth="1"/>
    <col min="11267" max="11267" width="5.75" style="41" bestFit="1" customWidth="1"/>
    <col min="11268" max="11268" width="7.625" style="41" bestFit="1" customWidth="1"/>
    <col min="11269" max="11269" width="9.125" style="41" bestFit="1" customWidth="1"/>
    <col min="11270" max="11514" width="8.875" style="41"/>
    <col min="11515" max="11515" width="8.625" style="41" customWidth="1"/>
    <col min="11516" max="11517" width="7.625" style="41" bestFit="1" customWidth="1"/>
    <col min="11518" max="11518" width="4.375" style="41" bestFit="1" customWidth="1"/>
    <col min="11519" max="11520" width="7.625" style="41" bestFit="1" customWidth="1"/>
    <col min="11521" max="11521" width="6.25" style="41" customWidth="1"/>
    <col min="11522" max="11522" width="7.625" style="41" bestFit="1" customWidth="1"/>
    <col min="11523" max="11523" width="5.75" style="41" bestFit="1" customWidth="1"/>
    <col min="11524" max="11524" width="7.625" style="41" bestFit="1" customWidth="1"/>
    <col min="11525" max="11525" width="9.125" style="41" bestFit="1" customWidth="1"/>
    <col min="11526" max="11770" width="8.875" style="41"/>
    <col min="11771" max="11771" width="8.625" style="41" customWidth="1"/>
    <col min="11772" max="11773" width="7.625" style="41" bestFit="1" customWidth="1"/>
    <col min="11774" max="11774" width="4.375" style="41" bestFit="1" customWidth="1"/>
    <col min="11775" max="11776" width="7.625" style="41" bestFit="1" customWidth="1"/>
    <col min="11777" max="11777" width="6.25" style="41" customWidth="1"/>
    <col min="11778" max="11778" width="7.625" style="41" bestFit="1" customWidth="1"/>
    <col min="11779" max="11779" width="5.75" style="41" bestFit="1" customWidth="1"/>
    <col min="11780" max="11780" width="7.625" style="41" bestFit="1" customWidth="1"/>
    <col min="11781" max="11781" width="9.125" style="41" bestFit="1" customWidth="1"/>
    <col min="11782" max="12026" width="8.875" style="41"/>
    <col min="12027" max="12027" width="8.625" style="41" customWidth="1"/>
    <col min="12028" max="12029" width="7.625" style="41" bestFit="1" customWidth="1"/>
    <col min="12030" max="12030" width="4.375" style="41" bestFit="1" customWidth="1"/>
    <col min="12031" max="12032" width="7.625" style="41" bestFit="1" customWidth="1"/>
    <col min="12033" max="12033" width="6.25" style="41" customWidth="1"/>
    <col min="12034" max="12034" width="7.625" style="41" bestFit="1" customWidth="1"/>
    <col min="12035" max="12035" width="5.75" style="41" bestFit="1" customWidth="1"/>
    <col min="12036" max="12036" width="7.625" style="41" bestFit="1" customWidth="1"/>
    <col min="12037" max="12037" width="9.125" style="41" bestFit="1" customWidth="1"/>
    <col min="12038" max="12282" width="8.875" style="41"/>
    <col min="12283" max="12283" width="8.625" style="41" customWidth="1"/>
    <col min="12284" max="12285" width="7.625" style="41" bestFit="1" customWidth="1"/>
    <col min="12286" max="12286" width="4.375" style="41" bestFit="1" customWidth="1"/>
    <col min="12287" max="12288" width="7.625" style="41" bestFit="1" customWidth="1"/>
    <col min="12289" max="12289" width="6.25" style="41" customWidth="1"/>
    <col min="12290" max="12290" width="7.625" style="41" bestFit="1" customWidth="1"/>
    <col min="12291" max="12291" width="5.75" style="41" bestFit="1" customWidth="1"/>
    <col min="12292" max="12292" width="7.625" style="41" bestFit="1" customWidth="1"/>
    <col min="12293" max="12293" width="9.125" style="41" bestFit="1" customWidth="1"/>
    <col min="12294" max="12538" width="8.875" style="41"/>
    <col min="12539" max="12539" width="8.625" style="41" customWidth="1"/>
    <col min="12540" max="12541" width="7.625" style="41" bestFit="1" customWidth="1"/>
    <col min="12542" max="12542" width="4.375" style="41" bestFit="1" customWidth="1"/>
    <col min="12543" max="12544" width="7.625" style="41" bestFit="1" customWidth="1"/>
    <col min="12545" max="12545" width="6.25" style="41" customWidth="1"/>
    <col min="12546" max="12546" width="7.625" style="41" bestFit="1" customWidth="1"/>
    <col min="12547" max="12547" width="5.75" style="41" bestFit="1" customWidth="1"/>
    <col min="12548" max="12548" width="7.625" style="41" bestFit="1" customWidth="1"/>
    <col min="12549" max="12549" width="9.125" style="41" bestFit="1" customWidth="1"/>
    <col min="12550" max="12794" width="8.875" style="41"/>
    <col min="12795" max="12795" width="8.625" style="41" customWidth="1"/>
    <col min="12796" max="12797" width="7.625" style="41" bestFit="1" customWidth="1"/>
    <col min="12798" max="12798" width="4.375" style="41" bestFit="1" customWidth="1"/>
    <col min="12799" max="12800" width="7.625" style="41" bestFit="1" customWidth="1"/>
    <col min="12801" max="12801" width="6.25" style="41" customWidth="1"/>
    <col min="12802" max="12802" width="7.625" style="41" bestFit="1" customWidth="1"/>
    <col min="12803" max="12803" width="5.75" style="41" bestFit="1" customWidth="1"/>
    <col min="12804" max="12804" width="7.625" style="41" bestFit="1" customWidth="1"/>
    <col min="12805" max="12805" width="9.125" style="41" bestFit="1" customWidth="1"/>
    <col min="12806" max="13050" width="8.875" style="41"/>
    <col min="13051" max="13051" width="8.625" style="41" customWidth="1"/>
    <col min="13052" max="13053" width="7.625" style="41" bestFit="1" customWidth="1"/>
    <col min="13054" max="13054" width="4.375" style="41" bestFit="1" customWidth="1"/>
    <col min="13055" max="13056" width="7.625" style="41" bestFit="1" customWidth="1"/>
    <col min="13057" max="13057" width="6.25" style="41" customWidth="1"/>
    <col min="13058" max="13058" width="7.625" style="41" bestFit="1" customWidth="1"/>
    <col min="13059" max="13059" width="5.75" style="41" bestFit="1" customWidth="1"/>
    <col min="13060" max="13060" width="7.625" style="41" bestFit="1" customWidth="1"/>
    <col min="13061" max="13061" width="9.125" style="41" bestFit="1" customWidth="1"/>
    <col min="13062" max="13306" width="8.875" style="41"/>
    <col min="13307" max="13307" width="8.625" style="41" customWidth="1"/>
    <col min="13308" max="13309" width="7.625" style="41" bestFit="1" customWidth="1"/>
    <col min="13310" max="13310" width="4.375" style="41" bestFit="1" customWidth="1"/>
    <col min="13311" max="13312" width="7.625" style="41" bestFit="1" customWidth="1"/>
    <col min="13313" max="13313" width="6.25" style="41" customWidth="1"/>
    <col min="13314" max="13314" width="7.625" style="41" bestFit="1" customWidth="1"/>
    <col min="13315" max="13315" width="5.75" style="41" bestFit="1" customWidth="1"/>
    <col min="13316" max="13316" width="7.625" style="41" bestFit="1" customWidth="1"/>
    <col min="13317" max="13317" width="9.125" style="41" bestFit="1" customWidth="1"/>
    <col min="13318" max="13562" width="8.875" style="41"/>
    <col min="13563" max="13563" width="8.625" style="41" customWidth="1"/>
    <col min="13564" max="13565" width="7.625" style="41" bestFit="1" customWidth="1"/>
    <col min="13566" max="13566" width="4.375" style="41" bestFit="1" customWidth="1"/>
    <col min="13567" max="13568" width="7.625" style="41" bestFit="1" customWidth="1"/>
    <col min="13569" max="13569" width="6.25" style="41" customWidth="1"/>
    <col min="13570" max="13570" width="7.625" style="41" bestFit="1" customWidth="1"/>
    <col min="13571" max="13571" width="5.75" style="41" bestFit="1" customWidth="1"/>
    <col min="13572" max="13572" width="7.625" style="41" bestFit="1" customWidth="1"/>
    <col min="13573" max="13573" width="9.125" style="41" bestFit="1" customWidth="1"/>
    <col min="13574" max="13818" width="8.875" style="41"/>
    <col min="13819" max="13819" width="8.625" style="41" customWidth="1"/>
    <col min="13820" max="13821" width="7.625" style="41" bestFit="1" customWidth="1"/>
    <col min="13822" max="13822" width="4.375" style="41" bestFit="1" customWidth="1"/>
    <col min="13823" max="13824" width="7.625" style="41" bestFit="1" customWidth="1"/>
    <col min="13825" max="13825" width="6.25" style="41" customWidth="1"/>
    <col min="13826" max="13826" width="7.625" style="41" bestFit="1" customWidth="1"/>
    <col min="13827" max="13827" width="5.75" style="41" bestFit="1" customWidth="1"/>
    <col min="13828" max="13828" width="7.625" style="41" bestFit="1" customWidth="1"/>
    <col min="13829" max="13829" width="9.125" style="41" bestFit="1" customWidth="1"/>
    <col min="13830" max="14074" width="8.875" style="41"/>
    <col min="14075" max="14075" width="8.625" style="41" customWidth="1"/>
    <col min="14076" max="14077" width="7.625" style="41" bestFit="1" customWidth="1"/>
    <col min="14078" max="14078" width="4.375" style="41" bestFit="1" customWidth="1"/>
    <col min="14079" max="14080" width="7.625" style="41" bestFit="1" customWidth="1"/>
    <col min="14081" max="14081" width="6.25" style="41" customWidth="1"/>
    <col min="14082" max="14082" width="7.625" style="41" bestFit="1" customWidth="1"/>
    <col min="14083" max="14083" width="5.75" style="41" bestFit="1" customWidth="1"/>
    <col min="14084" max="14084" width="7.625" style="41" bestFit="1" customWidth="1"/>
    <col min="14085" max="14085" width="9.125" style="41" bestFit="1" customWidth="1"/>
    <col min="14086" max="14330" width="8.875" style="41"/>
    <col min="14331" max="14331" width="8.625" style="41" customWidth="1"/>
    <col min="14332" max="14333" width="7.625" style="41" bestFit="1" customWidth="1"/>
    <col min="14334" max="14334" width="4.375" style="41" bestFit="1" customWidth="1"/>
    <col min="14335" max="14336" width="7.625" style="41" bestFit="1" customWidth="1"/>
    <col min="14337" max="14337" width="6.25" style="41" customWidth="1"/>
    <col min="14338" max="14338" width="7.625" style="41" bestFit="1" customWidth="1"/>
    <col min="14339" max="14339" width="5.75" style="41" bestFit="1" customWidth="1"/>
    <col min="14340" max="14340" width="7.625" style="41" bestFit="1" customWidth="1"/>
    <col min="14341" max="14341" width="9.125" style="41" bestFit="1" customWidth="1"/>
    <col min="14342" max="14586" width="8.875" style="41"/>
    <col min="14587" max="14587" width="8.625" style="41" customWidth="1"/>
    <col min="14588" max="14589" width="7.625" style="41" bestFit="1" customWidth="1"/>
    <col min="14590" max="14590" width="4.375" style="41" bestFit="1" customWidth="1"/>
    <col min="14591" max="14592" width="7.625" style="41" bestFit="1" customWidth="1"/>
    <col min="14593" max="14593" width="6.25" style="41" customWidth="1"/>
    <col min="14594" max="14594" width="7.625" style="41" bestFit="1" customWidth="1"/>
    <col min="14595" max="14595" width="5.75" style="41" bestFit="1" customWidth="1"/>
    <col min="14596" max="14596" width="7.625" style="41" bestFit="1" customWidth="1"/>
    <col min="14597" max="14597" width="9.125" style="41" bestFit="1" customWidth="1"/>
    <col min="14598" max="14842" width="8.875" style="41"/>
    <col min="14843" max="14843" width="8.625" style="41" customWidth="1"/>
    <col min="14844" max="14845" width="7.625" style="41" bestFit="1" customWidth="1"/>
    <col min="14846" max="14846" width="4.375" style="41" bestFit="1" customWidth="1"/>
    <col min="14847" max="14848" width="7.625" style="41" bestFit="1" customWidth="1"/>
    <col min="14849" max="14849" width="6.25" style="41" customWidth="1"/>
    <col min="14850" max="14850" width="7.625" style="41" bestFit="1" customWidth="1"/>
    <col min="14851" max="14851" width="5.75" style="41" bestFit="1" customWidth="1"/>
    <col min="14852" max="14852" width="7.625" style="41" bestFit="1" customWidth="1"/>
    <col min="14853" max="14853" width="9.125" style="41" bestFit="1" customWidth="1"/>
    <col min="14854" max="15098" width="8.875" style="41"/>
    <col min="15099" max="15099" width="8.625" style="41" customWidth="1"/>
    <col min="15100" max="15101" width="7.625" style="41" bestFit="1" customWidth="1"/>
    <col min="15102" max="15102" width="4.375" style="41" bestFit="1" customWidth="1"/>
    <col min="15103" max="15104" width="7.625" style="41" bestFit="1" customWidth="1"/>
    <col min="15105" max="15105" width="6.25" style="41" customWidth="1"/>
    <col min="15106" max="15106" width="7.625" style="41" bestFit="1" customWidth="1"/>
    <col min="15107" max="15107" width="5.75" style="41" bestFit="1" customWidth="1"/>
    <col min="15108" max="15108" width="7.625" style="41" bestFit="1" customWidth="1"/>
    <col min="15109" max="15109" width="9.125" style="41" bestFit="1" customWidth="1"/>
    <col min="15110" max="15354" width="8.875" style="41"/>
    <col min="15355" max="15355" width="8.625" style="41" customWidth="1"/>
    <col min="15356" max="15357" width="7.625" style="41" bestFit="1" customWidth="1"/>
    <col min="15358" max="15358" width="4.375" style="41" bestFit="1" customWidth="1"/>
    <col min="15359" max="15360" width="7.625" style="41" bestFit="1" customWidth="1"/>
    <col min="15361" max="15361" width="6.25" style="41" customWidth="1"/>
    <col min="15362" max="15362" width="7.625" style="41" bestFit="1" customWidth="1"/>
    <col min="15363" max="15363" width="5.75" style="41" bestFit="1" customWidth="1"/>
    <col min="15364" max="15364" width="7.625" style="41" bestFit="1" customWidth="1"/>
    <col min="15365" max="15365" width="9.125" style="41" bestFit="1" customWidth="1"/>
    <col min="15366" max="15610" width="8.875" style="41"/>
    <col min="15611" max="15611" width="8.625" style="41" customWidth="1"/>
    <col min="15612" max="15613" width="7.625" style="41" bestFit="1" customWidth="1"/>
    <col min="15614" max="15614" width="4.375" style="41" bestFit="1" customWidth="1"/>
    <col min="15615" max="15616" width="7.625" style="41" bestFit="1" customWidth="1"/>
    <col min="15617" max="15617" width="6.25" style="41" customWidth="1"/>
    <col min="15618" max="15618" width="7.625" style="41" bestFit="1" customWidth="1"/>
    <col min="15619" max="15619" width="5.75" style="41" bestFit="1" customWidth="1"/>
    <col min="15620" max="15620" width="7.625" style="41" bestFit="1" customWidth="1"/>
    <col min="15621" max="15621" width="9.125" style="41" bestFit="1" customWidth="1"/>
    <col min="15622" max="15866" width="8.875" style="41"/>
    <col min="15867" max="15867" width="8.625" style="41" customWidth="1"/>
    <col min="15868" max="15869" width="7.625" style="41" bestFit="1" customWidth="1"/>
    <col min="15870" max="15870" width="4.375" style="41" bestFit="1" customWidth="1"/>
    <col min="15871" max="15872" width="7.625" style="41" bestFit="1" customWidth="1"/>
    <col min="15873" max="15873" width="6.25" style="41" customWidth="1"/>
    <col min="15874" max="15874" width="7.625" style="41" bestFit="1" customWidth="1"/>
    <col min="15875" max="15875" width="5.75" style="41" bestFit="1" customWidth="1"/>
    <col min="15876" max="15876" width="7.625" style="41" bestFit="1" customWidth="1"/>
    <col min="15877" max="15877" width="9.125" style="41" bestFit="1" customWidth="1"/>
    <col min="15878" max="16122" width="8.875" style="41"/>
    <col min="16123" max="16123" width="8.625" style="41" customWidth="1"/>
    <col min="16124" max="16125" width="7.625" style="41" bestFit="1" customWidth="1"/>
    <col min="16126" max="16126" width="4.375" style="41" bestFit="1" customWidth="1"/>
    <col min="16127" max="16128" width="7.625" style="41" bestFit="1" customWidth="1"/>
    <col min="16129" max="16129" width="6.25" style="41" customWidth="1"/>
    <col min="16130" max="16130" width="7.625" style="41" bestFit="1" customWidth="1"/>
    <col min="16131" max="16131" width="5.75" style="41" bestFit="1" customWidth="1"/>
    <col min="16132" max="16132" width="7.625" style="41" bestFit="1" customWidth="1"/>
    <col min="16133" max="16133" width="9.125" style="41" bestFit="1" customWidth="1"/>
    <col min="16134" max="16384" width="8.875" style="41"/>
  </cols>
  <sheetData>
    <row r="1" spans="1:11" ht="22.5" customHeight="1">
      <c r="A1" s="41" t="s">
        <v>211</v>
      </c>
      <c r="B1" s="42"/>
      <c r="C1" s="42"/>
    </row>
    <row r="2" spans="1:11" ht="15" customHeight="1" thickBot="1">
      <c r="A2" s="45" t="s">
        <v>212</v>
      </c>
      <c r="B2" s="45" t="s">
        <v>213</v>
      </c>
      <c r="C2" s="45" t="s">
        <v>214</v>
      </c>
      <c r="D2" s="45" t="s">
        <v>4</v>
      </c>
      <c r="E2" s="45" t="s">
        <v>215</v>
      </c>
      <c r="F2" s="46" t="s">
        <v>216</v>
      </c>
    </row>
    <row r="3" spans="1:11" ht="15" customHeight="1" thickTop="1">
      <c r="A3" s="47" t="s">
        <v>244</v>
      </c>
      <c r="B3" s="47" t="s">
        <v>245</v>
      </c>
      <c r="C3" s="47" t="s">
        <v>10</v>
      </c>
      <c r="D3" s="47" t="s">
        <v>9</v>
      </c>
      <c r="E3" s="47" t="s">
        <v>54</v>
      </c>
      <c r="F3" s="48">
        <v>230000</v>
      </c>
    </row>
    <row r="4" spans="1:11" ht="15" customHeight="1">
      <c r="A4" s="49"/>
      <c r="B4" s="49"/>
      <c r="C4" s="49"/>
      <c r="D4" s="49"/>
      <c r="E4" s="49"/>
      <c r="F4" s="50"/>
    </row>
    <row r="5" spans="1:11" ht="15" customHeight="1">
      <c r="A5" s="49"/>
      <c r="B5" s="49"/>
      <c r="C5" s="49"/>
      <c r="D5" s="49"/>
      <c r="E5" s="49"/>
      <c r="F5" s="50"/>
      <c r="H5" s="51" t="s">
        <v>217</v>
      </c>
    </row>
    <row r="6" spans="1:11" ht="15" customHeight="1">
      <c r="A6" s="49"/>
      <c r="B6" s="49"/>
      <c r="C6" s="49"/>
      <c r="D6" s="49"/>
      <c r="E6" s="49"/>
      <c r="F6" s="50"/>
      <c r="H6" s="55" t="s">
        <v>0</v>
      </c>
      <c r="I6" s="55" t="s">
        <v>218</v>
      </c>
      <c r="J6" s="55" t="s">
        <v>219</v>
      </c>
      <c r="K6" s="56" t="s">
        <v>220</v>
      </c>
    </row>
    <row r="7" spans="1:11" ht="15" customHeight="1">
      <c r="A7" s="49"/>
      <c r="B7" s="49"/>
      <c r="C7" s="49"/>
      <c r="D7" s="49"/>
      <c r="E7" s="49"/>
      <c r="F7" s="50"/>
      <c r="H7" s="49" t="s">
        <v>231</v>
      </c>
      <c r="I7" s="17" t="s">
        <v>232</v>
      </c>
      <c r="J7" s="17" t="s">
        <v>72</v>
      </c>
      <c r="K7" s="57">
        <v>220000</v>
      </c>
    </row>
    <row r="8" spans="1:11" ht="15" customHeight="1">
      <c r="A8" s="49"/>
      <c r="B8" s="49"/>
      <c r="C8" s="49"/>
      <c r="D8" s="49"/>
      <c r="E8" s="49"/>
      <c r="F8" s="50"/>
      <c r="H8" s="49" t="s">
        <v>233</v>
      </c>
      <c r="I8" s="17" t="s">
        <v>225</v>
      </c>
      <c r="J8" s="49" t="s">
        <v>234</v>
      </c>
      <c r="K8" s="57">
        <v>230000</v>
      </c>
    </row>
    <row r="9" spans="1:11" ht="15" customHeight="1">
      <c r="A9" s="49"/>
      <c r="B9" s="49"/>
      <c r="C9" s="49"/>
      <c r="D9" s="49"/>
      <c r="E9" s="49"/>
      <c r="F9" s="50"/>
      <c r="H9" s="49" t="s">
        <v>221</v>
      </c>
      <c r="I9" s="17" t="s">
        <v>226</v>
      </c>
      <c r="J9" s="17" t="s">
        <v>227</v>
      </c>
      <c r="K9" s="57">
        <v>210000</v>
      </c>
    </row>
    <row r="10" spans="1:11" ht="15" customHeight="1">
      <c r="A10" s="49"/>
      <c r="B10" s="49"/>
      <c r="C10" s="49"/>
      <c r="D10" s="49"/>
      <c r="E10" s="49"/>
      <c r="F10" s="50"/>
      <c r="H10" s="49" t="s">
        <v>222</v>
      </c>
      <c r="I10" s="17" t="s">
        <v>235</v>
      </c>
      <c r="J10" s="17" t="s">
        <v>236</v>
      </c>
      <c r="K10" s="57">
        <v>220000</v>
      </c>
    </row>
    <row r="11" spans="1:11" ht="15" customHeight="1">
      <c r="A11" s="49"/>
      <c r="B11" s="49"/>
      <c r="C11" s="49"/>
      <c r="D11" s="49"/>
      <c r="E11" s="49"/>
      <c r="F11" s="50"/>
      <c r="H11" s="49" t="s">
        <v>223</v>
      </c>
      <c r="I11" s="17" t="s">
        <v>237</v>
      </c>
      <c r="J11" s="49" t="s">
        <v>229</v>
      </c>
      <c r="K11" s="57">
        <v>200000</v>
      </c>
    </row>
    <row r="12" spans="1:11" ht="15" customHeight="1">
      <c r="A12" s="49"/>
      <c r="B12" s="49"/>
      <c r="C12" s="49"/>
      <c r="D12" s="49"/>
      <c r="E12" s="49"/>
      <c r="F12" s="50"/>
      <c r="H12" s="49" t="s">
        <v>224</v>
      </c>
      <c r="I12" s="49" t="s">
        <v>228</v>
      </c>
      <c r="J12" s="17" t="s">
        <v>230</v>
      </c>
      <c r="K12" s="57">
        <v>210000</v>
      </c>
    </row>
    <row r="13" spans="1:11" ht="15" customHeight="1">
      <c r="A13" s="49"/>
      <c r="B13" s="49"/>
      <c r="C13" s="49"/>
      <c r="D13" s="49"/>
      <c r="E13" s="49"/>
      <c r="F13" s="50"/>
      <c r="H13" s="49" t="s">
        <v>239</v>
      </c>
      <c r="I13" s="17" t="s">
        <v>238</v>
      </c>
      <c r="J13" s="49" t="s">
        <v>240</v>
      </c>
      <c r="K13" s="57">
        <v>220000</v>
      </c>
    </row>
    <row r="14" spans="1:11" ht="15" customHeight="1">
      <c r="A14" s="49"/>
      <c r="B14" s="49"/>
      <c r="C14" s="49"/>
      <c r="D14" s="49"/>
      <c r="E14" s="49"/>
      <c r="F14" s="50"/>
      <c r="H14" s="49" t="s">
        <v>18</v>
      </c>
      <c r="I14" s="17" t="s">
        <v>19</v>
      </c>
      <c r="J14" s="49" t="s">
        <v>241</v>
      </c>
      <c r="K14" s="57">
        <v>210000</v>
      </c>
    </row>
    <row r="15" spans="1:11" ht="15" customHeight="1">
      <c r="A15" s="52"/>
      <c r="B15" s="52"/>
      <c r="C15" s="52"/>
      <c r="D15" s="52"/>
      <c r="E15" s="52"/>
      <c r="F15" s="53"/>
      <c r="H15" s="49" t="s">
        <v>22</v>
      </c>
      <c r="I15" s="17" t="s">
        <v>242</v>
      </c>
      <c r="J15" s="49" t="s">
        <v>243</v>
      </c>
      <c r="K15" s="57">
        <v>200000</v>
      </c>
    </row>
    <row r="16" spans="1:11">
      <c r="A16" s="51"/>
      <c r="B16" s="51"/>
      <c r="D16" s="54"/>
    </row>
  </sheetData>
  <phoneticPr fontId="2" type="noConversion"/>
  <pageMargins left="0.75" right="0.75" top="1" bottom="1" header="0.5" footer="0.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cmd수강등록">
          <controlPr defaultSize="0" autoFill="0" autoLine="0" r:id="rId5">
            <anchor moveWithCells="1">
              <from>
                <xdr:col>7</xdr:col>
                <xdr:colOff>0</xdr:colOff>
                <xdr:row>0</xdr:row>
                <xdr:rowOff>219075</xdr:rowOff>
              </from>
              <to>
                <xdr:col>8</xdr:col>
                <xdr:colOff>381000</xdr:colOff>
                <xdr:row>2</xdr:row>
                <xdr:rowOff>104775</xdr:rowOff>
              </to>
            </anchor>
          </controlPr>
        </control>
      </mc:Choice>
      <mc:Fallback>
        <control shapeId="8193" r:id="rId4" name="cmd수강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8</vt:i4>
      </vt:variant>
      <vt:variant>
        <vt:lpstr>차트</vt:lpstr>
      </vt:variant>
      <vt:variant>
        <vt:i4>1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차트작성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컨버전스 디지털</cp:lastModifiedBy>
  <dcterms:created xsi:type="dcterms:W3CDTF">2020-05-02T03:13:26Z</dcterms:created>
  <dcterms:modified xsi:type="dcterms:W3CDTF">2024-03-13T05:56:09Z</dcterms:modified>
</cp:coreProperties>
</file>