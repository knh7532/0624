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기출\"/>
    </mc:Choice>
  </mc:AlternateContent>
  <xr:revisionPtr revIDLastSave="0" documentId="13_ncr:1_{7847405E-FEF9-4038-8612-D7341B556B2D}" xr6:coauthVersionLast="47" xr6:coauthVersionMax="47" xr10:uidLastSave="{00000000-0000-0000-0000-000000000000}"/>
  <bookViews>
    <workbookView xWindow="1500" yWindow="510" windowWidth="23325" windowHeight="14685" xr2:uid="{00000000-000D-0000-FFFF-FFFF00000000}"/>
  </bookViews>
  <sheets>
    <sheet name="기본작업-1" sheetId="8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7" r:id="rId8"/>
  </sheets>
  <functionGroups builtInGroupCount="19"/>
  <definedNames>
    <definedName name="_xlnm._FilterDatabase" localSheetId="1" hidden="1">'기본작업-2'!$A$2:$I$27</definedName>
    <definedName name="_xlnm._FilterDatabase" localSheetId="4" hidden="1">'분석작업-2'!$A$2:$H$27</definedName>
    <definedName name="_xlnm.Criteria" localSheetId="1">'기본작업-2'!#REF!</definedName>
    <definedName name="_xlnm.Extract" localSheetId="1">'기본작업-2'!#REF!</definedName>
    <definedName name="_xlnm.Print_Area" localSheetId="1">'기본작업-2'!$A$2:$I$27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G30" i="9"/>
  <c r="G29" i="9"/>
  <c r="G28" i="9"/>
  <c r="G27" i="9"/>
  <c r="G26" i="9"/>
  <c r="G25" i="9"/>
  <c r="G24" i="9"/>
  <c r="G23" i="9"/>
  <c r="G20" i="9"/>
  <c r="G19" i="9"/>
  <c r="G18" i="9"/>
  <c r="G16" i="9"/>
  <c r="G15" i="9"/>
  <c r="G13" i="9"/>
  <c r="G12" i="9"/>
  <c r="G10" i="9"/>
  <c r="G9" i="9"/>
  <c r="G8" i="9"/>
  <c r="G7" i="9"/>
  <c r="K23" i="3" a="1"/>
  <c r="K6" i="3" a="1"/>
  <c r="K8" i="3" a="1"/>
  <c r="K10" i="3" a="1"/>
  <c r="K12" i="3" a="1"/>
  <c r="K14" i="3" a="1"/>
  <c r="K16" i="3" a="1"/>
  <c r="K18" i="3" a="1"/>
  <c r="K20" i="3" a="1"/>
  <c r="K22" i="3" a="1"/>
  <c r="K24" i="3" a="1"/>
  <c r="K26" i="3" a="1"/>
  <c r="K28" i="3" a="1"/>
  <c r="K5" i="3" a="1"/>
  <c r="K7" i="3" a="1"/>
  <c r="K9" i="3" a="1"/>
  <c r="K11" i="3" a="1"/>
  <c r="K13" i="3" a="1"/>
  <c r="K15" i="3" a="1"/>
  <c r="K17" i="3" a="1"/>
  <c r="K19" i="3" a="1"/>
  <c r="K21" i="3" a="1"/>
  <c r="K25" i="3" a="1"/>
  <c r="K27" i="3" a="1"/>
  <c r="K4" i="3" a="1"/>
  <c r="K27" i="3" l="1"/>
  <c r="K25" i="3"/>
  <c r="K21" i="3"/>
  <c r="K19" i="3"/>
  <c r="K17" i="3"/>
  <c r="K15" i="3"/>
  <c r="K13" i="3"/>
  <c r="K11" i="3"/>
  <c r="K9" i="3"/>
  <c r="K7" i="3"/>
  <c r="K5" i="3"/>
  <c r="K28" i="3"/>
  <c r="K26" i="3"/>
  <c r="K24" i="3"/>
  <c r="K22" i="3"/>
  <c r="K20" i="3"/>
  <c r="K18" i="3"/>
  <c r="K16" i="3"/>
  <c r="K14" i="3"/>
  <c r="K12" i="3"/>
  <c r="K10" i="3"/>
  <c r="K8" i="3"/>
  <c r="K6" i="3"/>
  <c r="K23" i="3"/>
  <c r="K4" i="3"/>
  <c r="G27" i="5"/>
  <c r="G26" i="5"/>
  <c r="G25" i="5"/>
  <c r="G24" i="5"/>
  <c r="G23" i="5"/>
  <c r="G22" i="5"/>
  <c r="G21" i="5"/>
  <c r="G20" i="5"/>
  <c r="G17" i="5"/>
  <c r="G16" i="5"/>
  <c r="G15" i="5"/>
  <c r="G13" i="5"/>
  <c r="G12" i="5"/>
  <c r="G10" i="5"/>
  <c r="G9" i="5"/>
  <c r="G7" i="5"/>
  <c r="G6" i="5"/>
  <c r="G5" i="5"/>
  <c r="G4" i="5"/>
  <c r="H27" i="8" l="1"/>
  <c r="H26" i="8"/>
  <c r="H25" i="8"/>
  <c r="H24" i="8"/>
  <c r="H23" i="8"/>
  <c r="H22" i="8"/>
  <c r="H21" i="8"/>
  <c r="H20" i="8"/>
  <c r="H17" i="8"/>
  <c r="H16" i="8"/>
  <c r="H15" i="8"/>
  <c r="H13" i="8"/>
  <c r="H12" i="8"/>
  <c r="H10" i="8"/>
  <c r="H9" i="8"/>
  <c r="H7" i="8"/>
  <c r="H6" i="8"/>
  <c r="H5" i="8"/>
  <c r="H4" i="8"/>
  <c r="M12" i="3" l="1" a="1"/>
  <c r="M12" i="3" s="1"/>
  <c r="N6" i="3" l="1" a="1"/>
  <c r="N6" i="3" s="1"/>
  <c r="N7" i="3" a="1"/>
  <c r="N7" i="3" s="1"/>
  <c r="N8" i="3" a="1"/>
  <c r="N8" i="3" s="1"/>
  <c r="N9" i="3" a="1"/>
  <c r="N9" i="3" s="1"/>
  <c r="N5" i="3" l="1" a="1"/>
  <c r="N5" i="3" s="1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4" i="3"/>
  <c r="H23" i="2" l="1"/>
  <c r="H11" i="2"/>
  <c r="H24" i="2"/>
  <c r="H19" i="2"/>
  <c r="H17" i="2"/>
  <c r="H22" i="2"/>
  <c r="H18" i="2"/>
  <c r="H16" i="2"/>
  <c r="H21" i="2"/>
  <c r="H8" i="2"/>
  <c r="H15" i="2"/>
  <c r="H9" i="2"/>
  <c r="H27" i="2"/>
  <c r="H5" i="2"/>
  <c r="H12" i="2"/>
  <c r="H6" i="2"/>
  <c r="H20" i="2"/>
  <c r="H7" i="2"/>
  <c r="H1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대출현황.accdb;DefaultDir=C:\OA;DriverId=25;FIL=MS Access;MaxBufferSize=2048;PageTimeout=5;" command="SELECT 대출정보.대출코드, 대출정보.이름, 대출정보.직업, 대출정보.지점, 대출정보.구매건수, 대출정보.구매금액, 대출정보.대출금액, 대출정보.대출기간_x000d__x000a_FROM `C:\OA\대출현황.accdb`.대출정보 대출정보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<sst xmlns="http://schemas.openxmlformats.org/spreadsheetml/2006/main" count="632" uniqueCount="228">
  <si>
    <t>[표1]</t>
    <phoneticPr fontId="3" type="noConversion"/>
  </si>
  <si>
    <t>가입일</t>
    <phoneticPr fontId="2" type="noConversion"/>
  </si>
  <si>
    <t>주민등록번호</t>
    <phoneticPr fontId="2" type="noConversion"/>
  </si>
  <si>
    <t>직업</t>
    <phoneticPr fontId="3" type="noConversion"/>
  </si>
  <si>
    <t>구매건수</t>
    <phoneticPr fontId="3" type="noConversion"/>
  </si>
  <si>
    <t>구매금액</t>
    <phoneticPr fontId="3" type="noConversion"/>
  </si>
  <si>
    <t>대출금액</t>
    <phoneticPr fontId="3" type="noConversion"/>
  </si>
  <si>
    <t>대출기간</t>
    <phoneticPr fontId="3" type="noConversion"/>
  </si>
  <si>
    <t>월상환액</t>
    <phoneticPr fontId="3" type="noConversion"/>
  </si>
  <si>
    <t>곽민성</t>
  </si>
  <si>
    <t>840507-1******</t>
  </si>
  <si>
    <t>회사원</t>
  </si>
  <si>
    <t>-</t>
    <phoneticPr fontId="3" type="noConversion"/>
  </si>
  <si>
    <t>구민수</t>
  </si>
  <si>
    <t>830307-2******</t>
  </si>
  <si>
    <t>구지영</t>
  </si>
  <si>
    <t>990503-1******</t>
  </si>
  <si>
    <t>권준학</t>
  </si>
  <si>
    <t>의사</t>
  </si>
  <si>
    <t>김다현</t>
  </si>
  <si>
    <t>890503-2******</t>
  </si>
  <si>
    <t>자영업</t>
  </si>
  <si>
    <t>-</t>
    <phoneticPr fontId="3" type="noConversion"/>
  </si>
  <si>
    <t>김명준</t>
  </si>
  <si>
    <t>760604-2******</t>
  </si>
  <si>
    <t>김병관</t>
  </si>
  <si>
    <t>김소영</t>
  </si>
  <si>
    <t>870916-2******</t>
  </si>
  <si>
    <t>김자인</t>
  </si>
  <si>
    <t>771029-1******</t>
  </si>
  <si>
    <t>김장현</t>
  </si>
  <si>
    <t>김종유</t>
  </si>
  <si>
    <t>민서준</t>
  </si>
  <si>
    <t>770120-1******</t>
  </si>
  <si>
    <t>박재민</t>
  </si>
  <si>
    <t>830122-2******</t>
  </si>
  <si>
    <t>박정</t>
  </si>
  <si>
    <t>841112-2******</t>
  </si>
  <si>
    <t>성민기</t>
  </si>
  <si>
    <t>소현</t>
  </si>
  <si>
    <t>810423-2******</t>
  </si>
  <si>
    <t>손지수</t>
  </si>
  <si>
    <t>유효승</t>
  </si>
  <si>
    <t>윤유림</t>
  </si>
  <si>
    <t>950610-2******</t>
  </si>
  <si>
    <t>이성민</t>
  </si>
  <si>
    <t>이양규</t>
  </si>
  <si>
    <t>890221-2******</t>
  </si>
  <si>
    <t>이원중</t>
  </si>
  <si>
    <t>930822-2******</t>
  </si>
  <si>
    <t>이인호</t>
  </si>
  <si>
    <t>850109-1******</t>
  </si>
  <si>
    <t>이진옥</t>
  </si>
  <si>
    <t>951225-2******</t>
  </si>
  <si>
    <t>이진혁</t>
  </si>
  <si>
    <t>760520-2******</t>
  </si>
  <si>
    <t>[표1]</t>
    <phoneticPr fontId="3" type="noConversion"/>
  </si>
  <si>
    <t>주민등록번호</t>
    <phoneticPr fontId="2" type="noConversion"/>
  </si>
  <si>
    <t>직업</t>
    <phoneticPr fontId="3" type="noConversion"/>
  </si>
  <si>
    <t>구매건수</t>
    <phoneticPr fontId="3" type="noConversion"/>
  </si>
  <si>
    <t>비고</t>
    <phoneticPr fontId="3" type="noConversion"/>
  </si>
  <si>
    <t>-</t>
    <phoneticPr fontId="3" type="noConversion"/>
  </si>
  <si>
    <t>-</t>
    <phoneticPr fontId="3" type="noConversion"/>
  </si>
  <si>
    <t>[표2]</t>
    <phoneticPr fontId="3" type="noConversion"/>
  </si>
  <si>
    <t>최대
대출금액</t>
    <phoneticPr fontId="3" type="noConversion"/>
  </si>
  <si>
    <t>코드</t>
    <phoneticPr fontId="2" type="noConversion"/>
  </si>
  <si>
    <t>[표1] 직업별 대출 현황</t>
    <phoneticPr fontId="2" type="noConversion"/>
  </si>
  <si>
    <t>직업</t>
  </si>
  <si>
    <t>대출금액</t>
  </si>
  <si>
    <t>대출기간</t>
  </si>
  <si>
    <t>월상환액</t>
  </si>
  <si>
    <t>[표1]</t>
    <phoneticPr fontId="2" type="noConversion"/>
  </si>
  <si>
    <t>대출금액</t>
    <phoneticPr fontId="3" type="noConversion"/>
  </si>
  <si>
    <t>대출기간(년)</t>
    <phoneticPr fontId="3" type="noConversion"/>
  </si>
  <si>
    <t>연이율</t>
    <phoneticPr fontId="3" type="noConversion"/>
  </si>
  <si>
    <t>월이자</t>
    <phoneticPr fontId="2" type="noConversion"/>
  </si>
  <si>
    <t>직업</t>
    <phoneticPr fontId="2" type="noConversion"/>
  </si>
  <si>
    <t>800510-1******</t>
  </si>
  <si>
    <t>780322-1******</t>
  </si>
  <si>
    <t>961022-1******</t>
  </si>
  <si>
    <t>870122-2******</t>
  </si>
  <si>
    <t>920326-2******</t>
  </si>
  <si>
    <t>850610-2******</t>
  </si>
  <si>
    <t>771222-1******</t>
  </si>
  <si>
    <t>851225-2******</t>
  </si>
  <si>
    <t>870310-1******</t>
    <phoneticPr fontId="2" type="noConversion"/>
  </si>
  <si>
    <t>880503-2******</t>
    <phoneticPr fontId="2" type="noConversion"/>
  </si>
  <si>
    <t>770208-1******</t>
    <phoneticPr fontId="2" type="noConversion"/>
  </si>
  <si>
    <t>860604-1******</t>
    <phoneticPr fontId="2" type="noConversion"/>
  </si>
  <si>
    <t>771022-2******</t>
    <phoneticPr fontId="2" type="noConversion"/>
  </si>
  <si>
    <t>880303-1******</t>
    <phoneticPr fontId="2" type="noConversion"/>
  </si>
  <si>
    <t>800312-2******</t>
    <phoneticPr fontId="2" type="noConversion"/>
  </si>
  <si>
    <t>881026-1******</t>
    <phoneticPr fontId="2" type="noConversion"/>
  </si>
  <si>
    <t>801027-1******</t>
    <phoneticPr fontId="2" type="noConversion"/>
  </si>
  <si>
    <t>890221-1******</t>
    <phoneticPr fontId="2" type="noConversion"/>
  </si>
  <si>
    <t>930822-1******</t>
    <phoneticPr fontId="2" type="noConversion"/>
  </si>
  <si>
    <t>860520-1******</t>
    <phoneticPr fontId="2" type="noConversion"/>
  </si>
  <si>
    <t>지점</t>
    <phoneticPr fontId="2" type="noConversion"/>
  </si>
  <si>
    <t>강남</t>
    <phoneticPr fontId="2" type="noConversion"/>
  </si>
  <si>
    <t>강서</t>
    <phoneticPr fontId="2" type="noConversion"/>
  </si>
  <si>
    <t>강남</t>
    <phoneticPr fontId="2" type="noConversion"/>
  </si>
  <si>
    <t>강동</t>
    <phoneticPr fontId="2" type="noConversion"/>
  </si>
  <si>
    <t>구로</t>
    <phoneticPr fontId="2" type="noConversion"/>
  </si>
  <si>
    <t>구로</t>
    <phoneticPr fontId="2" type="noConversion"/>
  </si>
  <si>
    <t>강남</t>
    <phoneticPr fontId="2" type="noConversion"/>
  </si>
  <si>
    <t>강북</t>
    <phoneticPr fontId="2" type="noConversion"/>
  </si>
  <si>
    <t>강북</t>
    <phoneticPr fontId="2" type="noConversion"/>
  </si>
  <si>
    <t>강북</t>
    <phoneticPr fontId="2" type="noConversion"/>
  </si>
  <si>
    <t>강서</t>
    <phoneticPr fontId="2" type="noConversion"/>
  </si>
  <si>
    <t>강남</t>
    <phoneticPr fontId="2" type="noConversion"/>
  </si>
  <si>
    <t>강남</t>
    <phoneticPr fontId="2" type="noConversion"/>
  </si>
  <si>
    <t>강남</t>
    <phoneticPr fontId="2" type="noConversion"/>
  </si>
  <si>
    <t>강서</t>
    <phoneticPr fontId="2" type="noConversion"/>
  </si>
  <si>
    <t>강북</t>
    <phoneticPr fontId="2" type="noConversion"/>
  </si>
  <si>
    <t>강북</t>
    <phoneticPr fontId="2" type="noConversion"/>
  </si>
  <si>
    <t>이름</t>
    <phoneticPr fontId="3" type="noConversion"/>
  </si>
  <si>
    <t>홍민철</t>
  </si>
  <si>
    <t>이상문</t>
  </si>
  <si>
    <t>성미영</t>
  </si>
  <si>
    <t>박세철</t>
  </si>
  <si>
    <t>최희준</t>
  </si>
  <si>
    <t>문영철</t>
  </si>
  <si>
    <t>양희진</t>
  </si>
  <si>
    <t>이상은</t>
  </si>
  <si>
    <t>최부길</t>
  </si>
  <si>
    <t>노민영</t>
  </si>
  <si>
    <t>김근범</t>
  </si>
  <si>
    <t>조민정</t>
  </si>
  <si>
    <t>황의상</t>
  </si>
  <si>
    <t>김근수</t>
  </si>
  <si>
    <t>김윤희</t>
  </si>
  <si>
    <t>봉효민</t>
  </si>
  <si>
    <t>송시경</t>
  </si>
  <si>
    <t>민병호</t>
  </si>
  <si>
    <t>박세진</t>
  </si>
  <si>
    <t>김호경</t>
  </si>
  <si>
    <t>박지민</t>
  </si>
  <si>
    <t>김상수</t>
  </si>
  <si>
    <t>이윤상</t>
  </si>
  <si>
    <t>박민경</t>
  </si>
  <si>
    <t>대출코드</t>
    <phoneticPr fontId="2" type="noConversion"/>
  </si>
  <si>
    <t>C04-08</t>
  </si>
  <si>
    <t>S01-23</t>
  </si>
  <si>
    <t>K02-26</t>
  </si>
  <si>
    <t>S01-27</t>
  </si>
  <si>
    <t>P03-37</t>
  </si>
  <si>
    <t>K02-59</t>
  </si>
  <si>
    <t>P03-08</t>
  </si>
  <si>
    <t>S01-07</t>
  </si>
  <si>
    <t>C04-02</t>
  </si>
  <si>
    <t>P03-26</t>
  </si>
  <si>
    <t>P03-05</t>
  </si>
  <si>
    <t>S01-37</t>
  </si>
  <si>
    <t>S01-02</t>
  </si>
  <si>
    <t>C04-48</t>
  </si>
  <si>
    <t>K02-67</t>
  </si>
  <si>
    <t>K02-38</t>
  </si>
  <si>
    <t>S01-38</t>
  </si>
  <si>
    <t>K02-01</t>
  </si>
  <si>
    <t>S01-64</t>
  </si>
  <si>
    <t>C04-15</t>
  </si>
  <si>
    <t>K02-28</t>
  </si>
  <si>
    <t>C04-26</t>
  </si>
  <si>
    <t>P03-52</t>
  </si>
  <si>
    <t>C04-31</t>
  </si>
  <si>
    <t>K02-06</t>
  </si>
  <si>
    <t>이름</t>
    <phoneticPr fontId="3" type="noConversion"/>
  </si>
  <si>
    <t>770829-1******</t>
    <phoneticPr fontId="2" type="noConversion"/>
  </si>
  <si>
    <t>900729-1******</t>
  </si>
  <si>
    <t>790727-2******</t>
  </si>
  <si>
    <t>871229-1******</t>
  </si>
  <si>
    <t>881015-2******</t>
  </si>
  <si>
    <t>901115-2******</t>
  </si>
  <si>
    <t>870208-2******</t>
  </si>
  <si>
    <t>870311-1******</t>
    <phoneticPr fontId="2" type="noConversion"/>
  </si>
  <si>
    <t>대출코드</t>
    <phoneticPr fontId="2" type="noConversion"/>
  </si>
  <si>
    <t>C</t>
    <phoneticPr fontId="2" type="noConversion"/>
  </si>
  <si>
    <t>P</t>
    <phoneticPr fontId="2" type="noConversion"/>
  </si>
  <si>
    <t>S</t>
    <phoneticPr fontId="2" type="noConversion"/>
  </si>
  <si>
    <t>K</t>
    <phoneticPr fontId="2" type="noConversion"/>
  </si>
  <si>
    <t>E</t>
    <phoneticPr fontId="2" type="noConversion"/>
  </si>
  <si>
    <t>회사원</t>
    <phoneticPr fontId="2" type="noConversion"/>
  </si>
  <si>
    <t>자영업</t>
    <phoneticPr fontId="3" type="noConversion"/>
  </si>
  <si>
    <t>공무원</t>
    <phoneticPr fontId="3" type="noConversion"/>
  </si>
  <si>
    <t>프리랜서</t>
    <phoneticPr fontId="3" type="noConversion"/>
  </si>
  <si>
    <t>의사</t>
    <phoneticPr fontId="3" type="noConversion"/>
  </si>
  <si>
    <t>E02-38</t>
    <phoneticPr fontId="2" type="noConversion"/>
  </si>
  <si>
    <t>E04-15</t>
    <phoneticPr fontId="2" type="noConversion"/>
  </si>
  <si>
    <t>E03-52</t>
    <phoneticPr fontId="2" type="noConversion"/>
  </si>
  <si>
    <t>E04-18</t>
    <phoneticPr fontId="2" type="noConversion"/>
  </si>
  <si>
    <t>S01-33</t>
    <phoneticPr fontId="2" type="noConversion"/>
  </si>
  <si>
    <t>E02-36</t>
    <phoneticPr fontId="2" type="noConversion"/>
  </si>
  <si>
    <t>S01-47</t>
    <phoneticPr fontId="2" type="noConversion"/>
  </si>
  <si>
    <t>P03-50</t>
    <phoneticPr fontId="2" type="noConversion"/>
  </si>
  <si>
    <t>K02-69</t>
    <phoneticPr fontId="2" type="noConversion"/>
  </si>
  <si>
    <t>E03-18</t>
    <phoneticPr fontId="2" type="noConversion"/>
  </si>
  <si>
    <t>S01-17</t>
    <phoneticPr fontId="2" type="noConversion"/>
  </si>
  <si>
    <t>C04-26</t>
    <phoneticPr fontId="2" type="noConversion"/>
  </si>
  <si>
    <t>P03-26</t>
    <phoneticPr fontId="2" type="noConversion"/>
  </si>
  <si>
    <t>P03-15</t>
    <phoneticPr fontId="2" type="noConversion"/>
  </si>
  <si>
    <t>E01-47</t>
    <phoneticPr fontId="2" type="noConversion"/>
  </si>
  <si>
    <t>S01-32</t>
    <phoneticPr fontId="2" type="noConversion"/>
  </si>
  <si>
    <t>C04-28</t>
    <phoneticPr fontId="2" type="noConversion"/>
  </si>
  <si>
    <t>K02-57</t>
    <phoneticPr fontId="2" type="noConversion"/>
  </si>
  <si>
    <t>선미경</t>
    <phoneticPr fontId="2" type="noConversion"/>
  </si>
  <si>
    <t>[표3]</t>
    <phoneticPr fontId="3" type="noConversion"/>
  </si>
  <si>
    <t>지점</t>
  </si>
  <si>
    <t>강남</t>
  </si>
  <si>
    <t>강북</t>
  </si>
  <si>
    <t>조건</t>
    <phoneticPr fontId="2" type="noConversion"/>
  </si>
  <si>
    <t>강서</t>
  </si>
  <si>
    <t>강동</t>
  </si>
  <si>
    <t>프리랜서</t>
  </si>
  <si>
    <t>합계 : 구매금액</t>
  </si>
  <si>
    <t>전체 합계 : 구매금액</t>
  </si>
  <si>
    <t>전체 평균 : 구매금액2</t>
  </si>
  <si>
    <t>평균 : 구매금액2</t>
  </si>
  <si>
    <t>값</t>
  </si>
  <si>
    <t>*</t>
  </si>
  <si>
    <t>기타</t>
    <phoneticPr fontId="2" type="noConversion"/>
  </si>
  <si>
    <t>이름</t>
    <phoneticPr fontId="3" type="noConversion"/>
  </si>
  <si>
    <t>직업</t>
    <phoneticPr fontId="2" type="noConversion"/>
  </si>
  <si>
    <t>대출일</t>
    <phoneticPr fontId="3" type="noConversion"/>
  </si>
  <si>
    <t>87년생 중 구매건수가 가장 많은 회원</t>
    <phoneticPr fontId="3" type="noConversion"/>
  </si>
  <si>
    <t>김성현</t>
  </si>
  <si>
    <t>2020-06-29</t>
  </si>
  <si>
    <t>3</t>
  </si>
  <si>
    <t>구로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</si>
</sst>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.0%"/>
    <numFmt numFmtId="177" formatCode="0_);[Red]\(0\)"/>
    <numFmt numFmtId="178" formatCode="**#,##0;;[Red]*#0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2" fontId="0" fillId="0" borderId="1" xfId="2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 applyAlignment="1">
      <alignment horizontal="right" vertical="center"/>
    </xf>
    <xf numFmtId="10" fontId="0" fillId="0" borderId="1" xfId="2" applyNumberFormat="1" applyFont="1" applyBorder="1" applyAlignment="1">
      <alignment horizontal="center" vertical="center"/>
    </xf>
    <xf numFmtId="3" fontId="0" fillId="0" borderId="1" xfId="0" applyNumberFormat="1" applyBorder="1">
      <alignment vertical="center"/>
    </xf>
    <xf numFmtId="3" fontId="0" fillId="0" borderId="1" xfId="2" applyNumberFormat="1" applyFont="1" applyBorder="1" applyAlignment="1">
      <alignment horizontal="right" vertical="center"/>
    </xf>
    <xf numFmtId="0" fontId="0" fillId="0" borderId="1" xfId="2" applyNumberFormat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44" fontId="0" fillId="0" borderId="0" xfId="0" applyNumberFormat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0">
    <dxf>
      <font>
        <b/>
        <i val="0"/>
        <u val="double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직업별 대출 현황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대출금액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'기타작업-1'!$B$4:$B$8</c:f>
              <c:strCache>
                <c:ptCount val="5"/>
                <c:pt idx="0">
                  <c:v>자영업</c:v>
                </c:pt>
                <c:pt idx="1">
                  <c:v>회사원</c:v>
                </c:pt>
                <c:pt idx="2">
                  <c:v>공무원</c:v>
                </c:pt>
                <c:pt idx="3">
                  <c:v>프리랜서</c:v>
                </c:pt>
                <c:pt idx="4">
                  <c:v>의사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28500000</c:v>
                </c:pt>
                <c:pt idx="1">
                  <c:v>34000000</c:v>
                </c:pt>
                <c:pt idx="2">
                  <c:v>10000000</c:v>
                </c:pt>
                <c:pt idx="3">
                  <c:v>45000000</c:v>
                </c:pt>
                <c:pt idx="4">
                  <c:v>64000000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B-4C3C-B589-8DBEA20CD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5327104"/>
        <c:axId val="45328640"/>
      </c:barChart>
      <c:lineChart>
        <c:grouping val="standar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대출기간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'기타작업-1'!$B$4:$B$8</c:f>
              <c:strCache>
                <c:ptCount val="5"/>
                <c:pt idx="0">
                  <c:v>자영업</c:v>
                </c:pt>
                <c:pt idx="1">
                  <c:v>회사원</c:v>
                </c:pt>
                <c:pt idx="2">
                  <c:v>공무원</c:v>
                </c:pt>
                <c:pt idx="3">
                  <c:v>프리랜서</c:v>
                </c:pt>
                <c:pt idx="4">
                  <c:v>의사</c:v>
                </c:pt>
              </c:strCache>
            </c:strRef>
          </c:cat>
          <c:val>
            <c:numRef>
              <c:f>'기타작업-1'!$D$4:$D$8</c:f>
              <c:numCache>
                <c:formatCode>General</c:formatCode>
                <c:ptCount val="5"/>
                <c:pt idx="0">
                  <c:v>7</c:v>
                </c:pt>
                <c:pt idx="1">
                  <c:v>12</c:v>
                </c:pt>
                <c:pt idx="2">
                  <c:v>3</c:v>
                </c:pt>
                <c:pt idx="3">
                  <c:v>11</c:v>
                </c:pt>
                <c:pt idx="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CB-4C3C-B589-8DBEA20CD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345120"/>
        <c:axId val="1820162336"/>
      </c:lineChart>
      <c:catAx>
        <c:axId val="45327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28640"/>
        <c:crosses val="autoZero"/>
        <c:auto val="1"/>
        <c:lblAlgn val="ctr"/>
        <c:lblOffset val="100"/>
        <c:noMultiLvlLbl val="0"/>
      </c:catAx>
      <c:valAx>
        <c:axId val="453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대출금액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2710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1820162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1345120"/>
        <c:crosses val="max"/>
        <c:crossBetween val="between"/>
      </c:valAx>
      <c:catAx>
        <c:axId val="1821345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0162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반복서식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반복해제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57150</xdr:rowOff>
        </xdr:from>
        <xdr:to>
          <xdr:col>8</xdr:col>
          <xdr:colOff>19050</xdr:colOff>
          <xdr:row>2</xdr:row>
          <xdr:rowOff>57150</xdr:rowOff>
        </xdr:to>
        <xdr:sp macro="" textlink="">
          <xdr:nvSpPr>
            <xdr:cNvPr id="7169" name="cmd대출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620148611109" createdVersion="6" refreshedVersion="6" minRefreshableVersion="3" recordCount="25" xr:uid="{00000000-000A-0000-FFFF-FFFF01000000}">
  <cacheSource type="external" connectionId="1"/>
  <cacheFields count="8">
    <cacheField name="대출코드" numFmtId="0" sqlType="-9">
      <sharedItems count="25">
        <s v="C04-08"/>
        <s v="S01-23"/>
        <s v="K02-26"/>
        <s v="C01-27"/>
        <s v="P03-37"/>
        <s v="E02-59"/>
        <s v="C03-08"/>
        <s v="E01-07"/>
        <s v="C04-02"/>
        <s v="P03-26"/>
        <s v="P03-05"/>
        <s v="E01-37"/>
        <s v="S01-02"/>
        <s v="C04-48"/>
        <s v="E02-67"/>
        <s v="K02-38"/>
        <s v="E01-38"/>
        <s v="C02-01"/>
        <s v="E01-64"/>
        <s v="C04-15"/>
        <s v="K02-28"/>
        <s v="C04-26"/>
        <s v="P03-52"/>
        <s v="C04-31"/>
        <s v="E02-06"/>
      </sharedItems>
    </cacheField>
    <cacheField name="이름" numFmtId="0" sqlType="-9">
      <sharedItems count="25">
        <s v="곽민성"/>
        <s v="구민수"/>
        <s v="구지영"/>
        <s v="권준학"/>
        <s v="김다현"/>
        <s v="김명준"/>
        <s v="김병관"/>
        <s v="김소영"/>
        <s v="김자인"/>
        <s v="김장현"/>
        <s v="김종유"/>
        <s v="민서준"/>
        <s v="박재민"/>
        <s v="박정"/>
        <s v="성민기"/>
        <s v="소현"/>
        <s v="손지수"/>
        <s v="유효승"/>
        <s v="윤유림"/>
        <s v="이성민"/>
        <s v="이양규"/>
        <s v="이원중"/>
        <s v="이인호"/>
        <s v="이진옥"/>
        <s v="이진혁"/>
      </sharedItems>
    </cacheField>
    <cacheField name="직업" numFmtId="0" sqlType="-9">
      <sharedItems count="4">
        <s v="자영업"/>
        <s v="의사"/>
        <s v="프리랜서"/>
        <s v="회사원"/>
      </sharedItems>
    </cacheField>
    <cacheField name="지점" numFmtId="0" sqlType="-9">
      <sharedItems count="5">
        <s v="강북"/>
        <s v="강남"/>
        <s v="강서"/>
        <s v="강동"/>
        <s v="구로"/>
      </sharedItems>
    </cacheField>
    <cacheField name="구매건수" numFmtId="0" sqlType="8">
      <sharedItems containsSemiMixedTypes="0" containsString="0" containsNumber="1" containsInteger="1" minValue="4" maxValue="60" count="20">
        <n v="25"/>
        <n v="30"/>
        <n v="52"/>
        <n v="28"/>
        <n v="10"/>
        <n v="5"/>
        <n v="40"/>
        <n v="60"/>
        <n v="22"/>
        <n v="38"/>
        <n v="46"/>
        <n v="29"/>
        <n v="48"/>
        <n v="37"/>
        <n v="4"/>
        <n v="11"/>
        <n v="15"/>
        <n v="19"/>
        <n v="39"/>
        <n v="6"/>
      </sharedItems>
    </cacheField>
    <cacheField name="구매금액" numFmtId="0" sqlType="8">
      <sharedItems containsSemiMixedTypes="0" containsString="0" containsNumber="1" containsInteger="1" minValue="1310000" maxValue="19660000" count="20">
        <n v="8190000"/>
        <n v="9830000"/>
        <n v="17040000"/>
        <n v="9170000"/>
        <n v="3280000"/>
        <n v="1640000"/>
        <n v="13100000"/>
        <n v="19660000"/>
        <n v="7210000"/>
        <n v="12450000"/>
        <n v="15070000"/>
        <n v="9500000"/>
        <n v="15720000"/>
        <n v="12120000"/>
        <n v="1310000"/>
        <n v="3600000"/>
        <n v="4910000"/>
        <n v="6220000"/>
        <n v="12780000"/>
        <n v="1970000"/>
      </sharedItems>
    </cacheField>
    <cacheField name="대출금액" numFmtId="0" sqlType="8">
      <sharedItems containsSemiMixedTypes="0" containsString="0" containsNumber="1" containsInteger="1" minValue="0" maxValue="9800000" count="16">
        <n v="0"/>
        <n v="4900000"/>
        <n v="8500000"/>
        <n v="4600000"/>
        <n v="1600000"/>
        <n v="6600000"/>
        <n v="9800000"/>
        <n v="6200000"/>
        <n v="7500000"/>
        <n v="7900000"/>
        <n v="6100000"/>
        <n v="1800000"/>
        <n v="2500000"/>
        <n v="3100000"/>
        <n v="6400000"/>
        <n v="1000000"/>
      </sharedItems>
    </cacheField>
    <cacheField name="대출기간" numFmtId="0" sqlType="8">
      <sharedItems containsSemiMixedTypes="0" containsString="0" containsNumber="1" containsInteger="1" minValue="0" maxValue="8" count="8">
        <n v="0"/>
        <n v="3"/>
        <n v="5"/>
        <n v="4"/>
        <n v="6"/>
        <n v="2"/>
        <n v="8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1"/>
    <x v="2"/>
    <x v="2"/>
    <x v="2"/>
    <x v="2"/>
    <x v="2"/>
  </r>
  <r>
    <x v="3"/>
    <x v="3"/>
    <x v="0"/>
    <x v="1"/>
    <x v="3"/>
    <x v="3"/>
    <x v="3"/>
    <x v="3"/>
  </r>
  <r>
    <x v="4"/>
    <x v="4"/>
    <x v="2"/>
    <x v="1"/>
    <x v="4"/>
    <x v="4"/>
    <x v="4"/>
    <x v="1"/>
  </r>
  <r>
    <x v="5"/>
    <x v="5"/>
    <x v="3"/>
    <x v="1"/>
    <x v="5"/>
    <x v="5"/>
    <x v="0"/>
    <x v="0"/>
  </r>
  <r>
    <x v="6"/>
    <x v="6"/>
    <x v="0"/>
    <x v="3"/>
    <x v="6"/>
    <x v="6"/>
    <x v="5"/>
    <x v="1"/>
  </r>
  <r>
    <x v="7"/>
    <x v="7"/>
    <x v="3"/>
    <x v="4"/>
    <x v="7"/>
    <x v="7"/>
    <x v="6"/>
    <x v="2"/>
  </r>
  <r>
    <x v="8"/>
    <x v="8"/>
    <x v="0"/>
    <x v="4"/>
    <x v="8"/>
    <x v="8"/>
    <x v="0"/>
    <x v="0"/>
  </r>
  <r>
    <x v="9"/>
    <x v="9"/>
    <x v="2"/>
    <x v="2"/>
    <x v="9"/>
    <x v="9"/>
    <x v="7"/>
    <x v="3"/>
  </r>
  <r>
    <x v="10"/>
    <x v="10"/>
    <x v="2"/>
    <x v="1"/>
    <x v="10"/>
    <x v="10"/>
    <x v="8"/>
    <x v="4"/>
  </r>
  <r>
    <x v="11"/>
    <x v="11"/>
    <x v="3"/>
    <x v="0"/>
    <x v="11"/>
    <x v="11"/>
    <x v="0"/>
    <x v="0"/>
  </r>
  <r>
    <x v="12"/>
    <x v="12"/>
    <x v="1"/>
    <x v="0"/>
    <x v="3"/>
    <x v="3"/>
    <x v="3"/>
    <x v="1"/>
  </r>
  <r>
    <x v="13"/>
    <x v="13"/>
    <x v="0"/>
    <x v="3"/>
    <x v="12"/>
    <x v="12"/>
    <x v="9"/>
    <x v="5"/>
  </r>
  <r>
    <x v="14"/>
    <x v="14"/>
    <x v="3"/>
    <x v="0"/>
    <x v="13"/>
    <x v="13"/>
    <x v="10"/>
    <x v="6"/>
  </r>
  <r>
    <x v="15"/>
    <x v="15"/>
    <x v="1"/>
    <x v="2"/>
    <x v="4"/>
    <x v="4"/>
    <x v="0"/>
    <x v="0"/>
  </r>
  <r>
    <x v="16"/>
    <x v="16"/>
    <x v="3"/>
    <x v="1"/>
    <x v="14"/>
    <x v="14"/>
    <x v="0"/>
    <x v="0"/>
  </r>
  <r>
    <x v="17"/>
    <x v="17"/>
    <x v="0"/>
    <x v="1"/>
    <x v="15"/>
    <x v="15"/>
    <x v="11"/>
    <x v="5"/>
  </r>
  <r>
    <x v="18"/>
    <x v="18"/>
    <x v="3"/>
    <x v="2"/>
    <x v="16"/>
    <x v="16"/>
    <x v="12"/>
    <x v="3"/>
  </r>
  <r>
    <x v="19"/>
    <x v="19"/>
    <x v="0"/>
    <x v="1"/>
    <x v="17"/>
    <x v="17"/>
    <x v="13"/>
    <x v="1"/>
  </r>
  <r>
    <x v="20"/>
    <x v="20"/>
    <x v="1"/>
    <x v="2"/>
    <x v="18"/>
    <x v="18"/>
    <x v="14"/>
    <x v="5"/>
  </r>
  <r>
    <x v="21"/>
    <x v="21"/>
    <x v="0"/>
    <x v="1"/>
    <x v="12"/>
    <x v="12"/>
    <x v="9"/>
    <x v="7"/>
  </r>
  <r>
    <x v="22"/>
    <x v="22"/>
    <x v="2"/>
    <x v="0"/>
    <x v="2"/>
    <x v="2"/>
    <x v="2"/>
    <x v="2"/>
  </r>
  <r>
    <x v="23"/>
    <x v="23"/>
    <x v="0"/>
    <x v="2"/>
    <x v="19"/>
    <x v="19"/>
    <x v="15"/>
    <x v="1"/>
  </r>
  <r>
    <x v="24"/>
    <x v="24"/>
    <x v="3"/>
    <x v="0"/>
    <x v="4"/>
    <x v="4"/>
    <x v="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dataOnRows="1" applyNumberFormats="0" applyBorderFormats="0" applyFontFormats="0" applyPatternFormats="0" applyAlignmentFormats="0" applyWidthHeightFormats="1" dataCaption="값" missingCaption="*" updatedVersion="6" minRefreshableVersion="3" useAutoFormatting="1" colGrandTotals="0" itemPrintTitles="1" createdVersion="6" indent="0" compact="0" outline="1" outlineData="1" compactData="0" multipleFieldFilters="0" fieldListSortAscending="1">
  <location ref="B2:H17" firstHeaderRow="1" firstDataRow="2" firstDataCol="2"/>
  <pivotFields count="8">
    <pivotField compact="0" showAll="0"/>
    <pivotField compact="0" showAll="0"/>
    <pivotField axis="axisRow" compact="0" showAll="0">
      <items count="5">
        <item x="1"/>
        <item x="0"/>
        <item x="2"/>
        <item x="3"/>
        <item t="default"/>
      </items>
    </pivotField>
    <pivotField axis="axisCol" compact="0" showAll="0">
      <items count="6">
        <item x="1"/>
        <item x="3"/>
        <item x="0"/>
        <item x="2"/>
        <item x="4"/>
        <item t="default"/>
      </items>
    </pivotField>
    <pivotField compact="0" showAll="0"/>
    <pivotField dataField="1" compact="0" showAll="0"/>
    <pivotField compact="0" showAll="0"/>
    <pivotField compact="0" showAll="0"/>
  </pivotFields>
  <rowFields count="2">
    <field x="2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dataFields count="2">
    <dataField name="합계 : 구매금액" fld="5" baseField="0" baseItem="0"/>
    <dataField name="평균 : 구매금액2" fld="5" subtotal="average" baseField="2" baseItem="0"/>
  </dataFields>
  <formats count="8">
    <format dxfId="8">
      <pivotArea fieldPosition="0">
        <references count="2">
          <reference field="4294967294" count="2">
            <x v="0"/>
            <x v="1"/>
          </reference>
          <reference field="2" count="1" selected="0">
            <x v="0"/>
          </reference>
        </references>
      </pivotArea>
    </format>
    <format dxfId="7">
      <pivotArea fieldPosition="0">
        <references count="1">
          <reference field="2" count="1">
            <x v="1"/>
          </reference>
        </references>
      </pivotArea>
    </format>
    <format dxfId="6">
      <pivotArea fieldPosition="0">
        <references count="2">
          <reference field="4294967294" count="2">
            <x v="0"/>
            <x v="1"/>
          </reference>
          <reference field="2" count="1" selected="0">
            <x v="1"/>
          </reference>
        </references>
      </pivotArea>
    </format>
    <format dxfId="5">
      <pivotArea fieldPosition="0">
        <references count="1">
          <reference field="2" count="1">
            <x v="2"/>
          </reference>
        </references>
      </pivotArea>
    </format>
    <format dxfId="4">
      <pivotArea fieldPosition="0">
        <references count="2">
          <reference field="4294967294" count="2">
            <x v="0"/>
            <x v="1"/>
          </reference>
          <reference field="2" count="1" selected="0">
            <x v="2"/>
          </reference>
        </references>
      </pivotArea>
    </format>
    <format dxfId="3">
      <pivotArea fieldPosition="0">
        <references count="1">
          <reference field="2" count="1">
            <x v="3"/>
          </reference>
        </references>
      </pivotArea>
    </format>
    <format dxfId="2">
      <pivotArea fieldPosition="0">
        <references count="2">
          <reference field="4294967294" count="2">
            <x v="0"/>
            <x v="1"/>
          </reference>
          <reference field="2" count="1" selected="0">
            <x v="3"/>
          </reference>
        </references>
      </pivotArea>
    </format>
    <format dxfId="1">
      <pivotArea field="2" grandRow="1" outline="0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externalLinkPath" Target="/Users/Owner/Documents/02.&#50500;&#52852;&#45936;&#48120;&#49548;&#54532;&#53944;/01.&#52980;&#54876;1&#44553;&#49892;&#44592;/01.&#50896;&#44256;/09.&#44592;&#52636;&#47928;&#51228;3&#54924;/&#44592;&#52636;&#47928;&#51228;3&#54924;_&#49548;&#49828;.xls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3"/>
  <sheetViews>
    <sheetView tabSelected="1" topLeftCell="A2" workbookViewId="0">
      <selection activeCell="H10" sqref="H10"/>
    </sheetView>
  </sheetViews>
  <sheetFormatPr defaultRowHeight="16.5" x14ac:dyDescent="0.3"/>
  <cols>
    <col min="2" max="2" width="7.375" bestFit="1" customWidth="1"/>
    <col min="3" max="3" width="12.5" bestFit="1" customWidth="1"/>
    <col min="4" max="4" width="16.25" bestFit="1" customWidth="1"/>
    <col min="5" max="5" width="7.75" customWidth="1"/>
    <col min="7" max="8" width="15.25" bestFit="1" customWidth="1"/>
  </cols>
  <sheetData>
    <row r="1" spans="1:9" x14ac:dyDescent="0.3">
      <c r="A1" t="s">
        <v>0</v>
      </c>
    </row>
    <row r="2" spans="1:9" x14ac:dyDescent="0.3">
      <c r="A2" s="1" t="s">
        <v>140</v>
      </c>
      <c r="B2" s="1" t="s">
        <v>115</v>
      </c>
      <c r="C2" s="1" t="s">
        <v>1</v>
      </c>
      <c r="D2" s="1" t="s">
        <v>2</v>
      </c>
      <c r="E2" s="1" t="s">
        <v>97</v>
      </c>
      <c r="F2" s="1" t="s">
        <v>4</v>
      </c>
      <c r="G2" s="1" t="s">
        <v>5</v>
      </c>
      <c r="H2" s="1" t="s">
        <v>6</v>
      </c>
      <c r="I2" s="1" t="s">
        <v>7</v>
      </c>
    </row>
    <row r="3" spans="1:9" x14ac:dyDescent="0.3">
      <c r="A3" s="1" t="s">
        <v>141</v>
      </c>
      <c r="B3" s="1" t="s">
        <v>9</v>
      </c>
      <c r="C3" s="2">
        <v>44065</v>
      </c>
      <c r="D3" s="1" t="s">
        <v>77</v>
      </c>
      <c r="E3" s="1" t="s">
        <v>105</v>
      </c>
      <c r="F3" s="1">
        <v>25</v>
      </c>
      <c r="G3" s="3">
        <v>8189800</v>
      </c>
      <c r="H3" s="3">
        <v>0</v>
      </c>
      <c r="I3" s="1">
        <v>0</v>
      </c>
    </row>
    <row r="4" spans="1:9" x14ac:dyDescent="0.3">
      <c r="A4" s="1" t="s">
        <v>142</v>
      </c>
      <c r="B4" s="1" t="s">
        <v>13</v>
      </c>
      <c r="C4" s="2">
        <v>43965</v>
      </c>
      <c r="D4" s="1" t="s">
        <v>85</v>
      </c>
      <c r="E4" s="1" t="s">
        <v>98</v>
      </c>
      <c r="F4" s="1">
        <v>30</v>
      </c>
      <c r="G4" s="3">
        <v>9827760</v>
      </c>
      <c r="H4" s="3">
        <f t="shared" ref="H4:H27" si="0">ROUND(G4/2,-5)</f>
        <v>4900000</v>
      </c>
      <c r="I4" s="1">
        <v>3</v>
      </c>
    </row>
    <row r="5" spans="1:9" x14ac:dyDescent="0.3">
      <c r="A5" s="1" t="s">
        <v>143</v>
      </c>
      <c r="B5" s="1" t="s">
        <v>15</v>
      </c>
      <c r="C5" s="2">
        <v>43841</v>
      </c>
      <c r="D5" s="1" t="s">
        <v>86</v>
      </c>
      <c r="E5" s="1" t="s">
        <v>99</v>
      </c>
      <c r="F5" s="1">
        <v>52</v>
      </c>
      <c r="G5" s="3">
        <v>17034784</v>
      </c>
      <c r="H5" s="3">
        <f t="shared" si="0"/>
        <v>8500000</v>
      </c>
      <c r="I5" s="1">
        <v>5</v>
      </c>
    </row>
    <row r="6" spans="1:9" x14ac:dyDescent="0.3">
      <c r="A6" s="1" t="s">
        <v>144</v>
      </c>
      <c r="B6" s="1" t="s">
        <v>17</v>
      </c>
      <c r="C6" s="2">
        <v>43960</v>
      </c>
      <c r="D6" s="1" t="s">
        <v>87</v>
      </c>
      <c r="E6" s="1" t="s">
        <v>98</v>
      </c>
      <c r="F6" s="1">
        <v>28</v>
      </c>
      <c r="G6" s="3">
        <v>9172576</v>
      </c>
      <c r="H6" s="3">
        <f t="shared" si="0"/>
        <v>4600000</v>
      </c>
      <c r="I6" s="1">
        <v>4</v>
      </c>
    </row>
    <row r="7" spans="1:9" x14ac:dyDescent="0.3">
      <c r="A7" s="1" t="s">
        <v>145</v>
      </c>
      <c r="B7" s="1" t="s">
        <v>19</v>
      </c>
      <c r="C7" s="2">
        <v>43852</v>
      </c>
      <c r="D7" s="1" t="s">
        <v>20</v>
      </c>
      <c r="E7" s="1" t="s">
        <v>98</v>
      </c>
      <c r="F7" s="1">
        <v>10</v>
      </c>
      <c r="G7" s="3">
        <v>3275920</v>
      </c>
      <c r="H7" s="3">
        <f t="shared" si="0"/>
        <v>1600000</v>
      </c>
      <c r="I7" s="1">
        <v>3</v>
      </c>
    </row>
    <row r="8" spans="1:9" x14ac:dyDescent="0.3">
      <c r="A8" s="1" t="s">
        <v>146</v>
      </c>
      <c r="B8" s="1" t="s">
        <v>23</v>
      </c>
      <c r="C8" s="2">
        <v>43914</v>
      </c>
      <c r="D8" s="1" t="s">
        <v>88</v>
      </c>
      <c r="E8" s="1" t="s">
        <v>98</v>
      </c>
      <c r="F8" s="1">
        <v>5</v>
      </c>
      <c r="G8" s="3">
        <v>1637960</v>
      </c>
      <c r="H8" s="3">
        <v>0</v>
      </c>
      <c r="I8" s="1">
        <v>0</v>
      </c>
    </row>
    <row r="9" spans="1:9" x14ac:dyDescent="0.3">
      <c r="A9" s="1" t="s">
        <v>147</v>
      </c>
      <c r="B9" s="1" t="s">
        <v>25</v>
      </c>
      <c r="C9" s="2">
        <v>43847</v>
      </c>
      <c r="D9" s="1" t="s">
        <v>78</v>
      </c>
      <c r="E9" s="1" t="s">
        <v>101</v>
      </c>
      <c r="F9" s="1">
        <v>40</v>
      </c>
      <c r="G9" s="3">
        <v>13103680</v>
      </c>
      <c r="H9" s="3">
        <f t="shared" si="0"/>
        <v>6600000</v>
      </c>
      <c r="I9" s="1">
        <v>3</v>
      </c>
    </row>
    <row r="10" spans="1:9" x14ac:dyDescent="0.3">
      <c r="A10" s="1" t="s">
        <v>148</v>
      </c>
      <c r="B10" s="1" t="s">
        <v>26</v>
      </c>
      <c r="C10" s="2">
        <v>44038</v>
      </c>
      <c r="D10" s="1" t="s">
        <v>27</v>
      </c>
      <c r="E10" s="1" t="s">
        <v>102</v>
      </c>
      <c r="F10" s="1">
        <v>60</v>
      </c>
      <c r="G10" s="3">
        <v>19655520</v>
      </c>
      <c r="H10" s="3">
        <f t="shared" si="0"/>
        <v>9800000</v>
      </c>
      <c r="I10" s="1">
        <v>5</v>
      </c>
    </row>
    <row r="11" spans="1:9" x14ac:dyDescent="0.3">
      <c r="A11" s="1" t="s">
        <v>149</v>
      </c>
      <c r="B11" s="1" t="s">
        <v>28</v>
      </c>
      <c r="C11" s="2">
        <v>43852</v>
      </c>
      <c r="D11" s="1" t="s">
        <v>89</v>
      </c>
      <c r="E11" s="1" t="s">
        <v>102</v>
      </c>
      <c r="F11" s="1">
        <v>22</v>
      </c>
      <c r="G11" s="3">
        <v>7207024</v>
      </c>
      <c r="H11" s="3">
        <v>0</v>
      </c>
      <c r="I11" s="1">
        <v>0</v>
      </c>
    </row>
    <row r="12" spans="1:9" x14ac:dyDescent="0.3">
      <c r="A12" s="1" t="s">
        <v>150</v>
      </c>
      <c r="B12" s="1" t="s">
        <v>30</v>
      </c>
      <c r="C12" s="2">
        <v>43841</v>
      </c>
      <c r="D12" s="1" t="s">
        <v>90</v>
      </c>
      <c r="E12" s="1" t="s">
        <v>99</v>
      </c>
      <c r="F12" s="1">
        <v>38</v>
      </c>
      <c r="G12" s="3">
        <v>12448496</v>
      </c>
      <c r="H12" s="3">
        <f t="shared" si="0"/>
        <v>6200000</v>
      </c>
      <c r="I12" s="1">
        <v>4</v>
      </c>
    </row>
    <row r="13" spans="1:9" x14ac:dyDescent="0.3">
      <c r="A13" s="1" t="s">
        <v>151</v>
      </c>
      <c r="B13" s="1" t="s">
        <v>31</v>
      </c>
      <c r="C13" s="2">
        <v>43977</v>
      </c>
      <c r="D13" s="1" t="s">
        <v>79</v>
      </c>
      <c r="E13" s="1" t="s">
        <v>98</v>
      </c>
      <c r="F13" s="1">
        <v>46</v>
      </c>
      <c r="G13" s="3">
        <v>15069232</v>
      </c>
      <c r="H13" s="3">
        <f t="shared" si="0"/>
        <v>7500000</v>
      </c>
      <c r="I13" s="1">
        <v>6</v>
      </c>
    </row>
    <row r="14" spans="1:9" x14ac:dyDescent="0.3">
      <c r="A14" s="1" t="s">
        <v>152</v>
      </c>
      <c r="B14" s="1" t="s">
        <v>32</v>
      </c>
      <c r="C14" s="2">
        <v>43832</v>
      </c>
      <c r="D14" s="1" t="s">
        <v>33</v>
      </c>
      <c r="E14" s="1" t="s">
        <v>105</v>
      </c>
      <c r="F14" s="1">
        <v>29</v>
      </c>
      <c r="G14" s="3">
        <v>9500168</v>
      </c>
      <c r="H14" s="3">
        <v>0</v>
      </c>
      <c r="I14" s="1">
        <v>0</v>
      </c>
    </row>
    <row r="15" spans="1:9" x14ac:dyDescent="0.3">
      <c r="A15" s="1" t="s">
        <v>153</v>
      </c>
      <c r="B15" s="1" t="s">
        <v>34</v>
      </c>
      <c r="C15" s="2">
        <v>44032</v>
      </c>
      <c r="D15" s="1" t="s">
        <v>80</v>
      </c>
      <c r="E15" s="1" t="s">
        <v>105</v>
      </c>
      <c r="F15" s="1">
        <v>28</v>
      </c>
      <c r="G15" s="3">
        <v>9172576</v>
      </c>
      <c r="H15" s="3">
        <f t="shared" si="0"/>
        <v>4600000</v>
      </c>
      <c r="I15" s="1">
        <v>3</v>
      </c>
    </row>
    <row r="16" spans="1:9" x14ac:dyDescent="0.3">
      <c r="A16" s="1" t="s">
        <v>154</v>
      </c>
      <c r="B16" s="1" t="s">
        <v>36</v>
      </c>
      <c r="C16" s="2">
        <v>44007</v>
      </c>
      <c r="D16" s="1" t="s">
        <v>91</v>
      </c>
      <c r="E16" s="1" t="s">
        <v>101</v>
      </c>
      <c r="F16" s="1">
        <v>48</v>
      </c>
      <c r="G16" s="3">
        <v>15724416</v>
      </c>
      <c r="H16" s="3">
        <f t="shared" si="0"/>
        <v>7900000</v>
      </c>
      <c r="I16" s="1">
        <v>2</v>
      </c>
    </row>
    <row r="17" spans="1:9" x14ac:dyDescent="0.3">
      <c r="A17" s="1" t="s">
        <v>155</v>
      </c>
      <c r="B17" s="1" t="s">
        <v>38</v>
      </c>
      <c r="C17" s="2">
        <v>43977</v>
      </c>
      <c r="D17" s="1" t="s">
        <v>92</v>
      </c>
      <c r="E17" s="1" t="s">
        <v>105</v>
      </c>
      <c r="F17" s="1">
        <v>37</v>
      </c>
      <c r="G17" s="3">
        <v>12120904</v>
      </c>
      <c r="H17" s="3">
        <f t="shared" si="0"/>
        <v>6100000</v>
      </c>
      <c r="I17" s="1">
        <v>8</v>
      </c>
    </row>
    <row r="18" spans="1:9" x14ac:dyDescent="0.3">
      <c r="A18" s="1" t="s">
        <v>156</v>
      </c>
      <c r="B18" s="1" t="s">
        <v>39</v>
      </c>
      <c r="C18" s="2">
        <v>43954</v>
      </c>
      <c r="D18" s="1" t="s">
        <v>40</v>
      </c>
      <c r="E18" s="1" t="s">
        <v>99</v>
      </c>
      <c r="F18" s="1">
        <v>10</v>
      </c>
      <c r="G18" s="3">
        <v>3275920</v>
      </c>
      <c r="H18" s="3">
        <v>0</v>
      </c>
      <c r="I18" s="1">
        <v>0</v>
      </c>
    </row>
    <row r="19" spans="1:9" x14ac:dyDescent="0.3">
      <c r="A19" s="1" t="s">
        <v>157</v>
      </c>
      <c r="B19" s="1" t="s">
        <v>41</v>
      </c>
      <c r="C19" s="2">
        <v>43977</v>
      </c>
      <c r="D19" s="1" t="s">
        <v>81</v>
      </c>
      <c r="E19" s="1" t="s">
        <v>98</v>
      </c>
      <c r="F19" s="1">
        <v>4</v>
      </c>
      <c r="G19" s="3">
        <v>1310368</v>
      </c>
      <c r="H19" s="3">
        <v>0</v>
      </c>
      <c r="I19" s="1">
        <v>0</v>
      </c>
    </row>
    <row r="20" spans="1:9" x14ac:dyDescent="0.3">
      <c r="A20" s="1" t="s">
        <v>158</v>
      </c>
      <c r="B20" s="1" t="s">
        <v>42</v>
      </c>
      <c r="C20" s="2">
        <v>43833</v>
      </c>
      <c r="D20" s="1" t="s">
        <v>93</v>
      </c>
      <c r="E20" s="1" t="s">
        <v>98</v>
      </c>
      <c r="F20" s="1">
        <v>11</v>
      </c>
      <c r="G20" s="3">
        <v>3603512</v>
      </c>
      <c r="H20" s="3">
        <f t="shared" si="0"/>
        <v>1800000</v>
      </c>
      <c r="I20" s="1">
        <v>2</v>
      </c>
    </row>
    <row r="21" spans="1:9" x14ac:dyDescent="0.3">
      <c r="A21" s="1" t="s">
        <v>159</v>
      </c>
      <c r="B21" s="1" t="s">
        <v>43</v>
      </c>
      <c r="C21" s="2">
        <v>44058</v>
      </c>
      <c r="D21" s="1" t="s">
        <v>82</v>
      </c>
      <c r="E21" s="1" t="s">
        <v>99</v>
      </c>
      <c r="F21" s="1">
        <v>15</v>
      </c>
      <c r="G21" s="3">
        <v>4913880</v>
      </c>
      <c r="H21" s="3">
        <f t="shared" si="0"/>
        <v>2500000</v>
      </c>
      <c r="I21" s="1">
        <v>4</v>
      </c>
    </row>
    <row r="22" spans="1:9" x14ac:dyDescent="0.3">
      <c r="A22" s="1" t="s">
        <v>160</v>
      </c>
      <c r="B22" s="1" t="s">
        <v>45</v>
      </c>
      <c r="C22" s="2">
        <v>43909</v>
      </c>
      <c r="D22" s="1" t="s">
        <v>83</v>
      </c>
      <c r="E22" s="1" t="s">
        <v>98</v>
      </c>
      <c r="F22" s="1">
        <v>19</v>
      </c>
      <c r="G22" s="3">
        <v>6224248</v>
      </c>
      <c r="H22" s="3">
        <f t="shared" si="0"/>
        <v>3100000</v>
      </c>
      <c r="I22" s="1">
        <v>3</v>
      </c>
    </row>
    <row r="23" spans="1:9" x14ac:dyDescent="0.3">
      <c r="A23" s="1" t="s">
        <v>161</v>
      </c>
      <c r="B23" s="1" t="s">
        <v>46</v>
      </c>
      <c r="C23" s="2">
        <v>44038</v>
      </c>
      <c r="D23" s="1" t="s">
        <v>94</v>
      </c>
      <c r="E23" s="1" t="s">
        <v>99</v>
      </c>
      <c r="F23" s="1">
        <v>39</v>
      </c>
      <c r="G23" s="3">
        <v>12776088</v>
      </c>
      <c r="H23" s="3">
        <f t="shared" si="0"/>
        <v>6400000</v>
      </c>
      <c r="I23" s="1">
        <v>2</v>
      </c>
    </row>
    <row r="24" spans="1:9" x14ac:dyDescent="0.3">
      <c r="A24" s="1" t="s">
        <v>162</v>
      </c>
      <c r="B24" s="1" t="s">
        <v>48</v>
      </c>
      <c r="C24" s="2">
        <v>43973</v>
      </c>
      <c r="D24" s="1" t="s">
        <v>95</v>
      </c>
      <c r="E24" s="1" t="s">
        <v>98</v>
      </c>
      <c r="F24" s="1">
        <v>48</v>
      </c>
      <c r="G24" s="3">
        <v>15724416</v>
      </c>
      <c r="H24" s="3">
        <f t="shared" si="0"/>
        <v>7900000</v>
      </c>
      <c r="I24" s="1">
        <v>1</v>
      </c>
    </row>
    <row r="25" spans="1:9" x14ac:dyDescent="0.3">
      <c r="A25" s="1" t="s">
        <v>163</v>
      </c>
      <c r="B25" s="1" t="s">
        <v>50</v>
      </c>
      <c r="C25" s="2">
        <v>43978</v>
      </c>
      <c r="D25" s="1" t="s">
        <v>51</v>
      </c>
      <c r="E25" s="1" t="s">
        <v>105</v>
      </c>
      <c r="F25" s="1">
        <v>52</v>
      </c>
      <c r="G25" s="3">
        <v>17034784</v>
      </c>
      <c r="H25" s="3">
        <f t="shared" si="0"/>
        <v>8500000</v>
      </c>
      <c r="I25" s="1">
        <v>5</v>
      </c>
    </row>
    <row r="26" spans="1:9" x14ac:dyDescent="0.3">
      <c r="A26" s="1" t="s">
        <v>164</v>
      </c>
      <c r="B26" s="1" t="s">
        <v>52</v>
      </c>
      <c r="C26" s="2">
        <v>44025</v>
      </c>
      <c r="D26" s="1" t="s">
        <v>84</v>
      </c>
      <c r="E26" s="1" t="s">
        <v>99</v>
      </c>
      <c r="F26" s="1">
        <v>6</v>
      </c>
      <c r="G26" s="3">
        <v>1965552</v>
      </c>
      <c r="H26" s="3">
        <f t="shared" si="0"/>
        <v>1000000</v>
      </c>
      <c r="I26" s="1">
        <v>3</v>
      </c>
    </row>
    <row r="27" spans="1:9" x14ac:dyDescent="0.3">
      <c r="A27" s="1" t="s">
        <v>165</v>
      </c>
      <c r="B27" s="1" t="s">
        <v>54</v>
      </c>
      <c r="C27" s="2">
        <v>43965</v>
      </c>
      <c r="D27" s="1" t="s">
        <v>96</v>
      </c>
      <c r="E27" s="1" t="s">
        <v>105</v>
      </c>
      <c r="F27" s="1">
        <v>10</v>
      </c>
      <c r="G27" s="3">
        <v>3275920</v>
      </c>
      <c r="H27" s="3">
        <f t="shared" si="0"/>
        <v>1600000</v>
      </c>
      <c r="I27" s="1">
        <v>2</v>
      </c>
    </row>
    <row r="29" spans="1:9" x14ac:dyDescent="0.3">
      <c r="A29" s="19" t="s">
        <v>209</v>
      </c>
    </row>
    <row r="30" spans="1:9" x14ac:dyDescent="0.3">
      <c r="A30" t="b">
        <f>AND(LEFT(A3,1)="S",_xlfn.RANK.EQ(F3,$F$3:$F$27)&lt;=10)</f>
        <v>0</v>
      </c>
    </row>
    <row r="32" spans="1:9" x14ac:dyDescent="0.3">
      <c r="A32" s="1" t="s">
        <v>140</v>
      </c>
      <c r="B32" s="1" t="s">
        <v>115</v>
      </c>
      <c r="C32" s="1" t="s">
        <v>1</v>
      </c>
      <c r="D32" s="1" t="s">
        <v>2</v>
      </c>
      <c r="E32" s="1" t="s">
        <v>97</v>
      </c>
      <c r="F32" s="1" t="s">
        <v>4</v>
      </c>
      <c r="G32" s="1" t="s">
        <v>5</v>
      </c>
      <c r="H32" s="1" t="s">
        <v>6</v>
      </c>
      <c r="I32" s="1" t="s">
        <v>7</v>
      </c>
    </row>
    <row r="33" spans="1:9" x14ac:dyDescent="0.3">
      <c r="A33" s="1" t="s">
        <v>148</v>
      </c>
      <c r="B33" s="1" t="s">
        <v>26</v>
      </c>
      <c r="C33" s="2">
        <v>44038</v>
      </c>
      <c r="D33" s="1" t="s">
        <v>27</v>
      </c>
      <c r="E33" s="1" t="s">
        <v>102</v>
      </c>
      <c r="F33" s="1">
        <v>60</v>
      </c>
      <c r="G33" s="3">
        <v>19655520</v>
      </c>
      <c r="H33" s="3">
        <v>9800000</v>
      </c>
      <c r="I33" s="1">
        <v>5</v>
      </c>
    </row>
  </sheetData>
  <phoneticPr fontId="2" type="noConversion"/>
  <conditionalFormatting sqref="A3:I27">
    <cfRule type="expression" dxfId="9" priority="1">
      <formula>AND(OR($E3="강남",$E3="강동"),$G3&gt;=AVERAGE($G$3:$G$27))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7"/>
  <sheetViews>
    <sheetView workbookViewId="0">
      <selection activeCell="D10" sqref="D10"/>
    </sheetView>
  </sheetViews>
  <sheetFormatPr defaultRowHeight="16.5" x14ac:dyDescent="0.3"/>
  <cols>
    <col min="2" max="2" width="7.375" bestFit="1" customWidth="1"/>
    <col min="3" max="3" width="12.5" bestFit="1" customWidth="1"/>
    <col min="4" max="4" width="16.25" bestFit="1" customWidth="1"/>
    <col min="5" max="5" width="7.75" customWidth="1"/>
    <col min="7" max="8" width="15.25" bestFit="1" customWidth="1"/>
    <col min="11" max="11" width="10.875" bestFit="1" customWidth="1"/>
  </cols>
  <sheetData>
    <row r="1" spans="1:9" x14ac:dyDescent="0.3">
      <c r="A1" t="s">
        <v>0</v>
      </c>
    </row>
    <row r="2" spans="1:9" x14ac:dyDescent="0.3">
      <c r="A2" s="26" t="s">
        <v>140</v>
      </c>
      <c r="B2" s="26" t="s">
        <v>115</v>
      </c>
      <c r="C2" s="26" t="s">
        <v>1</v>
      </c>
      <c r="D2" s="26" t="s">
        <v>2</v>
      </c>
      <c r="E2" s="26" t="s">
        <v>97</v>
      </c>
      <c r="F2" s="26" t="s">
        <v>4</v>
      </c>
      <c r="G2" s="26" t="s">
        <v>5</v>
      </c>
      <c r="H2" s="26" t="s">
        <v>6</v>
      </c>
      <c r="I2" s="26" t="s">
        <v>7</v>
      </c>
    </row>
    <row r="3" spans="1:9" x14ac:dyDescent="0.3">
      <c r="A3" s="1" t="s">
        <v>149</v>
      </c>
      <c r="B3" s="1" t="s">
        <v>28</v>
      </c>
      <c r="C3" s="2">
        <v>43852</v>
      </c>
      <c r="D3" s="1" t="s">
        <v>89</v>
      </c>
      <c r="E3" s="1" t="s">
        <v>103</v>
      </c>
      <c r="F3" s="1">
        <v>22</v>
      </c>
      <c r="G3" s="3">
        <v>7207024</v>
      </c>
      <c r="H3" s="3">
        <v>0</v>
      </c>
      <c r="I3" s="1">
        <v>0</v>
      </c>
    </row>
    <row r="4" spans="1:9" x14ac:dyDescent="0.3">
      <c r="A4" s="1" t="s">
        <v>141</v>
      </c>
      <c r="B4" s="1" t="s">
        <v>9</v>
      </c>
      <c r="C4" s="2">
        <v>44065</v>
      </c>
      <c r="D4" s="1" t="s">
        <v>77</v>
      </c>
      <c r="E4" s="1" t="s">
        <v>105</v>
      </c>
      <c r="F4" s="1">
        <v>25</v>
      </c>
      <c r="G4" s="3">
        <v>8189800</v>
      </c>
      <c r="H4" s="3">
        <v>0</v>
      </c>
      <c r="I4" s="1">
        <v>0</v>
      </c>
    </row>
    <row r="5" spans="1:9" x14ac:dyDescent="0.3">
      <c r="A5" s="1" t="s">
        <v>160</v>
      </c>
      <c r="B5" s="1" t="s">
        <v>45</v>
      </c>
      <c r="C5" s="2">
        <v>43909</v>
      </c>
      <c r="D5" s="1" t="s">
        <v>83</v>
      </c>
      <c r="E5" s="1" t="s">
        <v>111</v>
      </c>
      <c r="F5" s="1">
        <v>19</v>
      </c>
      <c r="G5" s="3">
        <v>6224248</v>
      </c>
      <c r="H5" s="3">
        <f t="shared" ref="H5:H12" si="0">ROUND(G5/2,-5)</f>
        <v>3100000</v>
      </c>
      <c r="I5" s="1">
        <v>3</v>
      </c>
    </row>
    <row r="6" spans="1:9" x14ac:dyDescent="0.3">
      <c r="A6" s="1" t="s">
        <v>162</v>
      </c>
      <c r="B6" s="1" t="s">
        <v>48</v>
      </c>
      <c r="C6" s="2">
        <v>43973</v>
      </c>
      <c r="D6" s="1" t="s">
        <v>95</v>
      </c>
      <c r="E6" s="1" t="s">
        <v>104</v>
      </c>
      <c r="F6" s="1">
        <v>48</v>
      </c>
      <c r="G6" s="3">
        <v>15724416</v>
      </c>
      <c r="H6" s="3">
        <f t="shared" si="0"/>
        <v>7900000</v>
      </c>
      <c r="I6" s="1">
        <v>1</v>
      </c>
    </row>
    <row r="7" spans="1:9" x14ac:dyDescent="0.3">
      <c r="A7" s="1" t="s">
        <v>164</v>
      </c>
      <c r="B7" s="1" t="s">
        <v>52</v>
      </c>
      <c r="C7" s="2">
        <v>44025</v>
      </c>
      <c r="D7" s="1" t="s">
        <v>84</v>
      </c>
      <c r="E7" s="1" t="s">
        <v>112</v>
      </c>
      <c r="F7" s="1">
        <v>6</v>
      </c>
      <c r="G7" s="3">
        <v>1965552</v>
      </c>
      <c r="H7" s="3">
        <f t="shared" si="0"/>
        <v>1000000</v>
      </c>
      <c r="I7" s="1">
        <v>3</v>
      </c>
    </row>
    <row r="8" spans="1:9" x14ac:dyDescent="0.3">
      <c r="A8" s="1" t="s">
        <v>154</v>
      </c>
      <c r="B8" s="1" t="s">
        <v>36</v>
      </c>
      <c r="C8" s="2">
        <v>44007</v>
      </c>
      <c r="D8" s="1" t="s">
        <v>91</v>
      </c>
      <c r="E8" s="1" t="s">
        <v>101</v>
      </c>
      <c r="F8" s="1">
        <v>48</v>
      </c>
      <c r="G8" s="3">
        <v>15724416</v>
      </c>
      <c r="H8" s="3">
        <f t="shared" si="0"/>
        <v>7900000</v>
      </c>
      <c r="I8" s="1">
        <v>2</v>
      </c>
    </row>
    <row r="9" spans="1:9" x14ac:dyDescent="0.3">
      <c r="A9" s="1" t="s">
        <v>158</v>
      </c>
      <c r="B9" s="1" t="s">
        <v>42</v>
      </c>
      <c r="C9" s="2">
        <v>43833</v>
      </c>
      <c r="D9" s="1" t="s">
        <v>93</v>
      </c>
      <c r="E9" s="1" t="s">
        <v>110</v>
      </c>
      <c r="F9" s="1">
        <v>11</v>
      </c>
      <c r="G9" s="3">
        <v>3603512</v>
      </c>
      <c r="H9" s="3">
        <f t="shared" si="0"/>
        <v>1800000</v>
      </c>
      <c r="I9" s="1">
        <v>2</v>
      </c>
    </row>
    <row r="10" spans="1:9" x14ac:dyDescent="0.3">
      <c r="A10" s="1" t="s">
        <v>165</v>
      </c>
      <c r="B10" s="1" t="s">
        <v>54</v>
      </c>
      <c r="C10" s="2">
        <v>43965</v>
      </c>
      <c r="D10" s="1" t="s">
        <v>96</v>
      </c>
      <c r="E10" s="1" t="s">
        <v>114</v>
      </c>
      <c r="F10" s="1">
        <v>10</v>
      </c>
      <c r="G10" s="3">
        <v>3275920</v>
      </c>
      <c r="H10" s="3">
        <f t="shared" si="0"/>
        <v>1600000</v>
      </c>
      <c r="I10" s="1">
        <v>2</v>
      </c>
    </row>
    <row r="11" spans="1:9" x14ac:dyDescent="0.3">
      <c r="A11" s="1" t="s">
        <v>143</v>
      </c>
      <c r="B11" s="1" t="s">
        <v>15</v>
      </c>
      <c r="C11" s="2">
        <v>43841</v>
      </c>
      <c r="D11" s="1" t="s">
        <v>86</v>
      </c>
      <c r="E11" s="1" t="s">
        <v>99</v>
      </c>
      <c r="F11" s="1">
        <v>52</v>
      </c>
      <c r="G11" s="3">
        <v>17034784</v>
      </c>
      <c r="H11" s="3">
        <f t="shared" si="0"/>
        <v>8500000</v>
      </c>
      <c r="I11" s="1">
        <v>5</v>
      </c>
    </row>
    <row r="12" spans="1:9" x14ac:dyDescent="0.3">
      <c r="A12" s="1" t="s">
        <v>161</v>
      </c>
      <c r="B12" s="1" t="s">
        <v>46</v>
      </c>
      <c r="C12" s="2">
        <v>44038</v>
      </c>
      <c r="D12" s="1" t="s">
        <v>94</v>
      </c>
      <c r="E12" s="1" t="s">
        <v>112</v>
      </c>
      <c r="F12" s="1">
        <v>39</v>
      </c>
      <c r="G12" s="3">
        <v>12776088</v>
      </c>
      <c r="H12" s="3">
        <f t="shared" si="0"/>
        <v>6400000</v>
      </c>
      <c r="I12" s="1">
        <v>2</v>
      </c>
    </row>
    <row r="13" spans="1:9" x14ac:dyDescent="0.3">
      <c r="A13" s="1" t="s">
        <v>156</v>
      </c>
      <c r="B13" s="1" t="s">
        <v>39</v>
      </c>
      <c r="C13" s="2">
        <v>43954</v>
      </c>
      <c r="D13" s="1" t="s">
        <v>40</v>
      </c>
      <c r="E13" s="1" t="s">
        <v>108</v>
      </c>
      <c r="F13" s="1">
        <v>10</v>
      </c>
      <c r="G13" s="3">
        <v>3275920</v>
      </c>
      <c r="H13" s="3">
        <v>0</v>
      </c>
      <c r="I13" s="1">
        <v>0</v>
      </c>
    </row>
    <row r="14" spans="1:9" x14ac:dyDescent="0.3">
      <c r="A14" s="1" t="s">
        <v>146</v>
      </c>
      <c r="B14" s="1" t="s">
        <v>23</v>
      </c>
      <c r="C14" s="2">
        <v>43914</v>
      </c>
      <c r="D14" s="1" t="s">
        <v>88</v>
      </c>
      <c r="E14" s="1" t="s">
        <v>98</v>
      </c>
      <c r="F14" s="1">
        <v>5</v>
      </c>
      <c r="G14" s="3">
        <v>1637960</v>
      </c>
      <c r="H14" s="3">
        <v>0</v>
      </c>
      <c r="I14" s="1">
        <v>0</v>
      </c>
    </row>
    <row r="15" spans="1:9" x14ac:dyDescent="0.3">
      <c r="A15" s="1" t="s">
        <v>155</v>
      </c>
      <c r="B15" s="1" t="s">
        <v>38</v>
      </c>
      <c r="C15" s="2">
        <v>43977</v>
      </c>
      <c r="D15" s="1" t="s">
        <v>92</v>
      </c>
      <c r="E15" s="1" t="s">
        <v>107</v>
      </c>
      <c r="F15" s="1">
        <v>37</v>
      </c>
      <c r="G15" s="3">
        <v>12120904</v>
      </c>
      <c r="H15" s="3">
        <f t="shared" ref="H15:H24" si="1">ROUND(G15/2,-5)</f>
        <v>6100000</v>
      </c>
      <c r="I15" s="1">
        <v>8</v>
      </c>
    </row>
    <row r="16" spans="1:9" x14ac:dyDescent="0.3">
      <c r="A16" s="1" t="s">
        <v>151</v>
      </c>
      <c r="B16" s="1" t="s">
        <v>31</v>
      </c>
      <c r="C16" s="2">
        <v>43977</v>
      </c>
      <c r="D16" s="1" t="s">
        <v>79</v>
      </c>
      <c r="E16" s="1" t="s">
        <v>104</v>
      </c>
      <c r="F16" s="1">
        <v>46</v>
      </c>
      <c r="G16" s="3">
        <v>15069232</v>
      </c>
      <c r="H16" s="3">
        <f t="shared" si="1"/>
        <v>7500000</v>
      </c>
      <c r="I16" s="1">
        <v>6</v>
      </c>
    </row>
    <row r="17" spans="1:9" x14ac:dyDescent="0.3">
      <c r="A17" s="1" t="s">
        <v>147</v>
      </c>
      <c r="B17" s="1" t="s">
        <v>25</v>
      </c>
      <c r="C17" s="2">
        <v>43847</v>
      </c>
      <c r="D17" s="1" t="s">
        <v>78</v>
      </c>
      <c r="E17" s="1" t="s">
        <v>101</v>
      </c>
      <c r="F17" s="1">
        <v>40</v>
      </c>
      <c r="G17" s="3">
        <v>13103680</v>
      </c>
      <c r="H17" s="3">
        <f t="shared" si="1"/>
        <v>6600000</v>
      </c>
      <c r="I17" s="1">
        <v>3</v>
      </c>
    </row>
    <row r="18" spans="1:9" x14ac:dyDescent="0.3">
      <c r="A18" s="1" t="s">
        <v>150</v>
      </c>
      <c r="B18" s="1" t="s">
        <v>30</v>
      </c>
      <c r="C18" s="2">
        <v>43841</v>
      </c>
      <c r="D18" s="1" t="s">
        <v>90</v>
      </c>
      <c r="E18" s="1" t="s">
        <v>99</v>
      </c>
      <c r="F18" s="1">
        <v>38</v>
      </c>
      <c r="G18" s="3">
        <v>12448496</v>
      </c>
      <c r="H18" s="3">
        <f t="shared" si="1"/>
        <v>6200000</v>
      </c>
      <c r="I18" s="1">
        <v>4</v>
      </c>
    </row>
    <row r="19" spans="1:9" x14ac:dyDescent="0.3">
      <c r="A19" s="1" t="s">
        <v>145</v>
      </c>
      <c r="B19" s="1" t="s">
        <v>19</v>
      </c>
      <c r="C19" s="2">
        <v>43852</v>
      </c>
      <c r="D19" s="1" t="s">
        <v>20</v>
      </c>
      <c r="E19" s="1" t="s">
        <v>100</v>
      </c>
      <c r="F19" s="1">
        <v>10</v>
      </c>
      <c r="G19" s="3">
        <v>3275920</v>
      </c>
      <c r="H19" s="3">
        <f t="shared" si="1"/>
        <v>1600000</v>
      </c>
      <c r="I19" s="1">
        <v>3</v>
      </c>
    </row>
    <row r="20" spans="1:9" x14ac:dyDescent="0.3">
      <c r="A20" s="1" t="s">
        <v>163</v>
      </c>
      <c r="B20" s="1" t="s">
        <v>50</v>
      </c>
      <c r="C20" s="2">
        <v>43978</v>
      </c>
      <c r="D20" s="1" t="s">
        <v>51</v>
      </c>
      <c r="E20" s="1" t="s">
        <v>113</v>
      </c>
      <c r="F20" s="1">
        <v>52</v>
      </c>
      <c r="G20" s="3">
        <v>17034784</v>
      </c>
      <c r="H20" s="3">
        <f t="shared" si="1"/>
        <v>8500000</v>
      </c>
      <c r="I20" s="1">
        <v>5</v>
      </c>
    </row>
    <row r="21" spans="1:9" x14ac:dyDescent="0.3">
      <c r="A21" s="1" t="s">
        <v>153</v>
      </c>
      <c r="B21" s="1" t="s">
        <v>34</v>
      </c>
      <c r="C21" s="2">
        <v>44032</v>
      </c>
      <c r="D21" s="1" t="s">
        <v>80</v>
      </c>
      <c r="E21" s="1" t="s">
        <v>106</v>
      </c>
      <c r="F21" s="1">
        <v>28</v>
      </c>
      <c r="G21" s="3">
        <v>9172576</v>
      </c>
      <c r="H21" s="3">
        <f t="shared" si="1"/>
        <v>4600000</v>
      </c>
      <c r="I21" s="1">
        <v>3</v>
      </c>
    </row>
    <row r="22" spans="1:9" x14ac:dyDescent="0.3">
      <c r="A22" s="1" t="s">
        <v>148</v>
      </c>
      <c r="B22" s="1" t="s">
        <v>26</v>
      </c>
      <c r="C22" s="2">
        <v>44038</v>
      </c>
      <c r="D22" s="1" t="s">
        <v>27</v>
      </c>
      <c r="E22" s="1" t="s">
        <v>102</v>
      </c>
      <c r="F22" s="1">
        <v>60</v>
      </c>
      <c r="G22" s="3">
        <v>19655520</v>
      </c>
      <c r="H22" s="3">
        <f t="shared" si="1"/>
        <v>9800000</v>
      </c>
      <c r="I22" s="1">
        <v>5</v>
      </c>
    </row>
    <row r="23" spans="1:9" x14ac:dyDescent="0.3">
      <c r="A23" s="1" t="s">
        <v>142</v>
      </c>
      <c r="B23" s="1" t="s">
        <v>13</v>
      </c>
      <c r="C23" s="2">
        <v>43965</v>
      </c>
      <c r="D23" s="1" t="s">
        <v>85</v>
      </c>
      <c r="E23" s="1" t="s">
        <v>98</v>
      </c>
      <c r="F23" s="1">
        <v>30</v>
      </c>
      <c r="G23" s="3">
        <v>9827760</v>
      </c>
      <c r="H23" s="3">
        <f t="shared" si="1"/>
        <v>4900000</v>
      </c>
      <c r="I23" s="1">
        <v>3</v>
      </c>
    </row>
    <row r="24" spans="1:9" x14ac:dyDescent="0.3">
      <c r="A24" s="1" t="s">
        <v>144</v>
      </c>
      <c r="B24" s="1" t="s">
        <v>17</v>
      </c>
      <c r="C24" s="2">
        <v>43960</v>
      </c>
      <c r="D24" s="1" t="s">
        <v>87</v>
      </c>
      <c r="E24" s="1" t="s">
        <v>98</v>
      </c>
      <c r="F24" s="1">
        <v>28</v>
      </c>
      <c r="G24" s="3">
        <v>9172576</v>
      </c>
      <c r="H24" s="3">
        <f t="shared" si="1"/>
        <v>4600000</v>
      </c>
      <c r="I24" s="1">
        <v>4</v>
      </c>
    </row>
    <row r="25" spans="1:9" x14ac:dyDescent="0.3">
      <c r="A25" s="1" t="s">
        <v>152</v>
      </c>
      <c r="B25" s="1" t="s">
        <v>32</v>
      </c>
      <c r="C25" s="2">
        <v>43832</v>
      </c>
      <c r="D25" s="1" t="s">
        <v>33</v>
      </c>
      <c r="E25" s="1" t="s">
        <v>105</v>
      </c>
      <c r="F25" s="1">
        <v>29</v>
      </c>
      <c r="G25" s="3">
        <v>9500168</v>
      </c>
      <c r="H25" s="3">
        <v>0</v>
      </c>
      <c r="I25" s="1">
        <v>0</v>
      </c>
    </row>
    <row r="26" spans="1:9" x14ac:dyDescent="0.3">
      <c r="A26" s="1" t="s">
        <v>157</v>
      </c>
      <c r="B26" s="1" t="s">
        <v>41</v>
      </c>
      <c r="C26" s="2">
        <v>43977</v>
      </c>
      <c r="D26" s="1" t="s">
        <v>81</v>
      </c>
      <c r="E26" s="1" t="s">
        <v>109</v>
      </c>
      <c r="F26" s="1">
        <v>4</v>
      </c>
      <c r="G26" s="3">
        <v>1310368</v>
      </c>
      <c r="H26" s="3">
        <v>0</v>
      </c>
      <c r="I26" s="1">
        <v>0</v>
      </c>
    </row>
    <row r="27" spans="1:9" x14ac:dyDescent="0.3">
      <c r="A27" s="1" t="s">
        <v>159</v>
      </c>
      <c r="B27" s="1" t="s">
        <v>43</v>
      </c>
      <c r="C27" s="2">
        <v>44058</v>
      </c>
      <c r="D27" s="1" t="s">
        <v>82</v>
      </c>
      <c r="E27" s="1" t="s">
        <v>112</v>
      </c>
      <c r="F27" s="1">
        <v>15</v>
      </c>
      <c r="G27" s="3">
        <v>4913880</v>
      </c>
      <c r="H27" s="3">
        <f>ROUND(G27/2,-5)</f>
        <v>2500000</v>
      </c>
      <c r="I27" s="1">
        <v>4</v>
      </c>
    </row>
  </sheetData>
  <sortState xmlns:xlrd2="http://schemas.microsoft.com/office/spreadsheetml/2017/richdata2" ref="A3:I27">
    <sortCondition ref="A2"/>
  </sortState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4294967293" r:id="rId1"/>
  <headerFooter>
    <oddFooter>&amp;C&amp;A 시트/&amp;P페이지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N37"/>
  <sheetViews>
    <sheetView zoomScale="85" zoomScaleNormal="85" workbookViewId="0">
      <selection activeCell="B1" sqref="B1"/>
    </sheetView>
  </sheetViews>
  <sheetFormatPr defaultRowHeight="16.5" x14ac:dyDescent="0.3"/>
  <cols>
    <col min="1" max="1" width="2.75" customWidth="1"/>
    <col min="3" max="3" width="8.625" bestFit="1" customWidth="1"/>
    <col min="4" max="4" width="14.125" bestFit="1" customWidth="1"/>
    <col min="5" max="5" width="12.375" bestFit="1" customWidth="1"/>
    <col min="6" max="6" width="9" bestFit="1" customWidth="1"/>
    <col min="7" max="8" width="13.5" bestFit="1" customWidth="1"/>
    <col min="9" max="9" width="13.875" bestFit="1" customWidth="1"/>
    <col min="10" max="10" width="12" customWidth="1"/>
    <col min="11" max="11" width="9" customWidth="1"/>
    <col min="12" max="12" width="10.625" bestFit="1" customWidth="1"/>
    <col min="13" max="13" width="12.375" bestFit="1" customWidth="1"/>
    <col min="14" max="14" width="21.375" customWidth="1"/>
  </cols>
  <sheetData>
    <row r="2" spans="2:14" x14ac:dyDescent="0.3">
      <c r="B2" t="s">
        <v>56</v>
      </c>
    </row>
    <row r="3" spans="2:14" x14ac:dyDescent="0.3">
      <c r="B3" s="1" t="s">
        <v>175</v>
      </c>
      <c r="C3" s="1" t="s">
        <v>166</v>
      </c>
      <c r="D3" s="1" t="s">
        <v>57</v>
      </c>
      <c r="E3" s="4" t="s">
        <v>58</v>
      </c>
      <c r="F3" s="1" t="s">
        <v>59</v>
      </c>
      <c r="G3" s="1" t="s">
        <v>5</v>
      </c>
      <c r="H3" s="1" t="s">
        <v>6</v>
      </c>
      <c r="I3" s="1" t="s">
        <v>7</v>
      </c>
      <c r="J3" s="4" t="s">
        <v>8</v>
      </c>
      <c r="K3" s="4" t="s">
        <v>60</v>
      </c>
      <c r="M3" t="s">
        <v>205</v>
      </c>
    </row>
    <row r="4" spans="2:14" x14ac:dyDescent="0.3">
      <c r="B4" s="1" t="s">
        <v>189</v>
      </c>
      <c r="C4" s="1" t="s">
        <v>116</v>
      </c>
      <c r="D4" s="1" t="s">
        <v>174</v>
      </c>
      <c r="E4" s="1" t="str">
        <f>VLOOKUP(LEFT(B4,1),$B$33:$C$37,2,0)&amp;"("&amp;CHOOSE(MOD(RIGHT(B4,2),4)+1,"강남","강서","강북","강동")&amp;")"</f>
        <v>회사원(강북)</v>
      </c>
      <c r="F4" s="21">
        <v>35</v>
      </c>
      <c r="G4" s="3">
        <v>16450000</v>
      </c>
      <c r="H4" s="3">
        <v>15000000</v>
      </c>
      <c r="I4" s="1">
        <v>3</v>
      </c>
      <c r="J4" s="3">
        <f ca="1">IFERROR(PMT(OFFSET($C$32,MATCH(LEFT(B4,1),$B$33:$B$37,0),I4)/12,I4*12,-H4),"대출없음")</f>
        <v>446203.86717563367</v>
      </c>
      <c r="K4" s="1" t="str" cm="1">
        <f t="array" ref="K4">fn비고(F4,G4)</f>
        <v/>
      </c>
      <c r="M4" s="1" t="s">
        <v>65</v>
      </c>
      <c r="N4" s="18" t="s">
        <v>64</v>
      </c>
    </row>
    <row r="5" spans="2:14" x14ac:dyDescent="0.3">
      <c r="B5" s="1" t="s">
        <v>190</v>
      </c>
      <c r="C5" s="1" t="s">
        <v>117</v>
      </c>
      <c r="D5" s="1" t="s">
        <v>173</v>
      </c>
      <c r="E5" s="1" t="str">
        <f t="shared" ref="E5:E28" si="0">VLOOKUP(LEFT(B5,1),$B$33:$C$37,2,0)&amp;"("&amp;CHOOSE(MOD(RIGHT(B5,2),4)+1,"강남","강서","강북","강동")&amp;")"</f>
        <v>의사(강서)</v>
      </c>
      <c r="F5" s="21">
        <v>36</v>
      </c>
      <c r="G5" s="3">
        <v>16920000</v>
      </c>
      <c r="H5" s="3">
        <v>7000000</v>
      </c>
      <c r="I5" s="1">
        <v>1</v>
      </c>
      <c r="J5" s="3">
        <f t="shared" ref="J5:J28" ca="1" si="1">IFERROR(PMT(OFFSET($C$32,MATCH(LEFT(B5,1),$B$33:$B$37,0),I5)/12,I5*12,-H5),"대출없음")</f>
        <v>601821.71410148533</v>
      </c>
      <c r="K5" s="1" t="str" cm="1">
        <f t="array" ref="K5">fn비고(F5,G5)</f>
        <v/>
      </c>
      <c r="M5" s="1" t="s">
        <v>176</v>
      </c>
      <c r="N5" s="7" t="str">
        <f t="array" ref="N5">TEXT(MAXA(IF(LEFT($B$4:$B$28,1)=M5,$H$4:$H$28)),"\#,###원")</f>
        <v>₩10,000,000원</v>
      </c>
    </row>
    <row r="6" spans="2:14" x14ac:dyDescent="0.3">
      <c r="B6" s="1" t="s">
        <v>191</v>
      </c>
      <c r="C6" s="1" t="s">
        <v>118</v>
      </c>
      <c r="D6" s="1" t="s">
        <v>16</v>
      </c>
      <c r="E6" s="1" t="str">
        <f t="shared" si="0"/>
        <v>회사원(강남)</v>
      </c>
      <c r="F6" s="21">
        <v>15</v>
      </c>
      <c r="G6" s="3">
        <v>7050000</v>
      </c>
      <c r="H6" s="3">
        <v>5000000</v>
      </c>
      <c r="I6" s="1">
        <v>1</v>
      </c>
      <c r="J6" s="3">
        <f t="shared" ca="1" si="1"/>
        <v>429183.92286174791</v>
      </c>
      <c r="K6" s="1" t="str" cm="1">
        <f t="array" ref="K6">fn비고(F6,G6)</f>
        <v/>
      </c>
      <c r="M6" s="1" t="s">
        <v>180</v>
      </c>
      <c r="N6" s="7" t="str">
        <f t="array" ref="N6">TEXT(MAXA(IF(LEFT($B$4:$B$28,1)=M6,$H$4:$H$28)),"\#,###원")</f>
        <v>₩15,000,000원</v>
      </c>
    </row>
    <row r="7" spans="2:14" x14ac:dyDescent="0.3">
      <c r="B7" s="1" t="s">
        <v>192</v>
      </c>
      <c r="C7" s="1" t="s">
        <v>119</v>
      </c>
      <c r="D7" s="1" t="s">
        <v>53</v>
      </c>
      <c r="E7" s="1" t="str">
        <f t="shared" si="0"/>
        <v>의사(강동)</v>
      </c>
      <c r="F7" s="21">
        <v>25</v>
      </c>
      <c r="G7" s="3">
        <v>11750000</v>
      </c>
      <c r="H7" s="3">
        <v>10000000</v>
      </c>
      <c r="I7" s="1">
        <v>5</v>
      </c>
      <c r="J7" s="3">
        <f t="shared" ca="1" si="1"/>
        <v>183264.04654507991</v>
      </c>
      <c r="K7" s="1" t="str" cm="1">
        <f t="array" ref="K7">fn비고(F7,G7)</f>
        <v/>
      </c>
      <c r="M7" s="1" t="s">
        <v>179</v>
      </c>
      <c r="N7" s="7" t="str">
        <f t="array" ref="N7">TEXT(MAXA(IF(LEFT($B$4:$B$28,1)=M7,$H$4:$H$28)),"\#,###원")</f>
        <v>₩10,000,000원</v>
      </c>
    </row>
    <row r="8" spans="2:14" x14ac:dyDescent="0.3">
      <c r="B8" s="1" t="s">
        <v>193</v>
      </c>
      <c r="C8" s="1" t="s">
        <v>120</v>
      </c>
      <c r="D8" s="1" t="s">
        <v>44</v>
      </c>
      <c r="E8" s="1" t="str">
        <f t="shared" si="0"/>
        <v>프리랜서(강북)</v>
      </c>
      <c r="F8" s="21">
        <v>56</v>
      </c>
      <c r="G8" s="3">
        <v>29320000</v>
      </c>
      <c r="H8" s="3">
        <v>20000000</v>
      </c>
      <c r="I8" s="1">
        <v>5</v>
      </c>
      <c r="J8" s="3">
        <f t="shared" ca="1" si="1"/>
        <v>366528.09309015982</v>
      </c>
      <c r="K8" s="1" t="str" cm="1">
        <f t="array" ref="K8">fn비고(F8,G8)</f>
        <v>우수회원</v>
      </c>
      <c r="M8" s="1" t="s">
        <v>177</v>
      </c>
      <c r="N8" s="7" t="str">
        <f t="array" ref="N8">TEXT(MAXA(IF(LEFT($B$4:$B$28,1)=M8,$H$4:$H$28)),"\#,###원")</f>
        <v>₩20,000,000원</v>
      </c>
    </row>
    <row r="9" spans="2:14" x14ac:dyDescent="0.3">
      <c r="B9" s="1" t="s">
        <v>194</v>
      </c>
      <c r="C9" s="1" t="s">
        <v>121</v>
      </c>
      <c r="D9" s="1" t="s">
        <v>49</v>
      </c>
      <c r="E9" s="1" t="str">
        <f t="shared" si="0"/>
        <v>공무원(강서)</v>
      </c>
      <c r="F9" s="21">
        <v>4</v>
      </c>
      <c r="G9" s="3">
        <v>1880000</v>
      </c>
      <c r="H9" s="1" t="s">
        <v>12</v>
      </c>
      <c r="I9" s="1" t="s">
        <v>12</v>
      </c>
      <c r="J9" s="3" t="str">
        <f t="shared" ca="1" si="1"/>
        <v>대출없음</v>
      </c>
      <c r="K9" s="1" t="str" cm="1">
        <f t="array" ref="K9">fn비고(F9,G9)</f>
        <v/>
      </c>
      <c r="M9" s="1" t="s">
        <v>178</v>
      </c>
      <c r="N9" s="7" t="str">
        <f t="array" ref="N9">TEXT(MAXA(IF(LEFT($B$4:$B$28,1)=M9,$H$4:$H$28)),"\#,###원")</f>
        <v>₩22,000,000원</v>
      </c>
    </row>
    <row r="10" spans="2:14" x14ac:dyDescent="0.3">
      <c r="B10" s="1" t="s">
        <v>195</v>
      </c>
      <c r="C10" s="1" t="s">
        <v>122</v>
      </c>
      <c r="D10" s="1" t="s">
        <v>172</v>
      </c>
      <c r="E10" s="1" t="str">
        <f t="shared" si="0"/>
        <v>회사원(강북)</v>
      </c>
      <c r="F10" s="21">
        <v>21</v>
      </c>
      <c r="G10" s="3">
        <v>9870000</v>
      </c>
      <c r="H10" s="3">
        <v>5000000</v>
      </c>
      <c r="I10" s="1">
        <v>3</v>
      </c>
      <c r="J10" s="3">
        <f t="shared" ca="1" si="1"/>
        <v>148734.6223918779</v>
      </c>
      <c r="K10" s="1" t="str" cm="1">
        <f t="array" ref="K10">fn비고(F10,G10)</f>
        <v/>
      </c>
    </row>
    <row r="11" spans="2:14" ht="17.45" customHeight="1" x14ac:dyDescent="0.3">
      <c r="B11" s="1" t="s">
        <v>196</v>
      </c>
      <c r="C11" s="1" t="s">
        <v>123</v>
      </c>
      <c r="D11" s="1" t="s">
        <v>171</v>
      </c>
      <c r="E11" s="1" t="str">
        <f t="shared" si="0"/>
        <v>의사(강서)</v>
      </c>
      <c r="F11" s="21">
        <v>25</v>
      </c>
      <c r="G11" s="3">
        <v>11750000</v>
      </c>
      <c r="H11" s="3">
        <v>7000000</v>
      </c>
      <c r="I11" s="1">
        <v>2</v>
      </c>
      <c r="J11" s="3">
        <f t="shared" ca="1" si="1"/>
        <v>308041.06925023685</v>
      </c>
      <c r="K11" s="1" t="str" cm="1">
        <f t="array" ref="K11">fn비고(F11,G11)</f>
        <v/>
      </c>
      <c r="M11" s="31" t="s">
        <v>223</v>
      </c>
      <c r="N11" s="31"/>
    </row>
    <row r="12" spans="2:14" x14ac:dyDescent="0.3">
      <c r="B12" s="1" t="s">
        <v>197</v>
      </c>
      <c r="C12" s="1" t="s">
        <v>124</v>
      </c>
      <c r="D12" s="1" t="s">
        <v>170</v>
      </c>
      <c r="E12" s="1" t="str">
        <f t="shared" si="0"/>
        <v>자영업(강북)</v>
      </c>
      <c r="F12" s="21">
        <v>12</v>
      </c>
      <c r="G12" s="3">
        <v>5640000</v>
      </c>
      <c r="H12" s="3">
        <v>5500000</v>
      </c>
      <c r="I12" s="1">
        <v>2</v>
      </c>
      <c r="J12" s="3">
        <f t="shared" ca="1" si="1"/>
        <v>243763.35639016289</v>
      </c>
      <c r="K12" s="1" t="str" cm="1">
        <f t="array" ref="K12">fn비고(F12,G12)</f>
        <v/>
      </c>
      <c r="M12" s="32" t="str">
        <f t="array" ref="M12">INDEX(C4:C28,MATCH(MAX((LEFT(D4:D28,2)="87")*F4:F28),(LEFT(D4:D28,2)="87")*F4:F28,0))</f>
        <v>이상문</v>
      </c>
      <c r="N12" s="33"/>
    </row>
    <row r="13" spans="2:14" x14ac:dyDescent="0.3">
      <c r="B13" s="1" t="s">
        <v>198</v>
      </c>
      <c r="C13" s="1" t="s">
        <v>125</v>
      </c>
      <c r="D13" s="1" t="s">
        <v>27</v>
      </c>
      <c r="E13" s="1" t="str">
        <f t="shared" si="0"/>
        <v>프리랜서(강북)</v>
      </c>
      <c r="F13" s="21">
        <v>12</v>
      </c>
      <c r="G13" s="3">
        <v>5640000</v>
      </c>
      <c r="H13" s="3">
        <v>2000000</v>
      </c>
      <c r="I13" s="1">
        <v>4</v>
      </c>
      <c r="J13" s="3">
        <f t="shared" ca="1" si="1"/>
        <v>45427.096547435249</v>
      </c>
      <c r="K13" s="1" t="str" cm="1">
        <f t="array" ref="K13">fn비고(F13,G13)</f>
        <v/>
      </c>
    </row>
    <row r="14" spans="2:14" x14ac:dyDescent="0.3">
      <c r="B14" s="1" t="s">
        <v>199</v>
      </c>
      <c r="C14" s="1" t="s">
        <v>126</v>
      </c>
      <c r="D14" s="1" t="s">
        <v>40</v>
      </c>
      <c r="E14" s="1" t="str">
        <f t="shared" si="0"/>
        <v>프리랜서(강동)</v>
      </c>
      <c r="F14" s="21">
        <v>15</v>
      </c>
      <c r="G14" s="3">
        <v>7050000</v>
      </c>
      <c r="H14" s="3">
        <v>5000000</v>
      </c>
      <c r="I14" s="1">
        <v>1</v>
      </c>
      <c r="J14" s="3">
        <f t="shared" ca="1" si="1"/>
        <v>429872.65292963234</v>
      </c>
      <c r="K14" s="1" t="str" cm="1">
        <f t="array" ref="K14">fn비고(F14,G14)</f>
        <v/>
      </c>
      <c r="M14" s="22"/>
    </row>
    <row r="15" spans="2:14" x14ac:dyDescent="0.3">
      <c r="B15" s="1" t="s">
        <v>200</v>
      </c>
      <c r="C15" s="1" t="s">
        <v>127</v>
      </c>
      <c r="D15" s="1" t="s">
        <v>169</v>
      </c>
      <c r="E15" s="1" t="str">
        <f t="shared" si="0"/>
        <v>회사원(강동)</v>
      </c>
      <c r="F15" s="21">
        <v>25</v>
      </c>
      <c r="G15" s="3">
        <v>11750000</v>
      </c>
      <c r="H15" s="3">
        <v>5000000</v>
      </c>
      <c r="I15" s="1">
        <v>2</v>
      </c>
      <c r="J15" s="3">
        <f t="shared" ca="1" si="1"/>
        <v>220029.33517874058</v>
      </c>
      <c r="K15" s="1" t="str" cm="1">
        <f t="array" ref="K15">fn비고(F15,G15)</f>
        <v/>
      </c>
      <c r="L15" s="20"/>
    </row>
    <row r="16" spans="2:14" x14ac:dyDescent="0.3">
      <c r="B16" s="1" t="s">
        <v>201</v>
      </c>
      <c r="C16" s="1" t="s">
        <v>128</v>
      </c>
      <c r="D16" s="1" t="s">
        <v>29</v>
      </c>
      <c r="E16" s="1" t="str">
        <f t="shared" si="0"/>
        <v>의사(강남)</v>
      </c>
      <c r="F16" s="21">
        <v>51</v>
      </c>
      <c r="G16" s="3">
        <v>23970000</v>
      </c>
      <c r="H16" s="3">
        <v>15000000</v>
      </c>
      <c r="I16" s="1">
        <v>1</v>
      </c>
      <c r="J16" s="3">
        <f t="shared" ca="1" si="1"/>
        <v>1289617.9587888969</v>
      </c>
      <c r="K16" s="1" t="str" cm="1">
        <f t="array" ref="K16">fn비고(F16,G16)</f>
        <v>우수회원</v>
      </c>
    </row>
    <row r="17" spans="2:11" x14ac:dyDescent="0.3">
      <c r="B17" s="1" t="s">
        <v>202</v>
      </c>
      <c r="C17" s="1" t="s">
        <v>129</v>
      </c>
      <c r="D17" s="1" t="s">
        <v>168</v>
      </c>
      <c r="E17" s="1" t="str">
        <f t="shared" si="0"/>
        <v>자영업(강남)</v>
      </c>
      <c r="F17" s="21">
        <v>19</v>
      </c>
      <c r="G17" s="3">
        <v>8930000</v>
      </c>
      <c r="H17" s="3">
        <v>10000000</v>
      </c>
      <c r="I17" s="1">
        <v>2</v>
      </c>
      <c r="J17" s="3">
        <f t="shared" ca="1" si="1"/>
        <v>443206.10252756893</v>
      </c>
      <c r="K17" s="1" t="str" cm="1">
        <f t="array" ref="K17">fn비고(F17,G17)</f>
        <v/>
      </c>
    </row>
    <row r="18" spans="2:11" x14ac:dyDescent="0.3">
      <c r="B18" s="1" t="s">
        <v>203</v>
      </c>
      <c r="C18" s="1" t="s">
        <v>130</v>
      </c>
      <c r="D18" s="1" t="s">
        <v>20</v>
      </c>
      <c r="E18" s="1" t="str">
        <f t="shared" si="0"/>
        <v>공무원(강서)</v>
      </c>
      <c r="F18" s="21">
        <v>11</v>
      </c>
      <c r="G18" s="3">
        <v>5170000</v>
      </c>
      <c r="H18" s="3">
        <v>10000000</v>
      </c>
      <c r="I18" s="1">
        <v>3</v>
      </c>
      <c r="J18" s="3">
        <f t="shared" ca="1" si="1"/>
        <v>296130.36749527056</v>
      </c>
      <c r="K18" s="1" t="str" cm="1">
        <f t="array" ref="K18">fn비고(F18,G18)</f>
        <v/>
      </c>
    </row>
    <row r="19" spans="2:11" x14ac:dyDescent="0.3">
      <c r="B19" s="1" t="s">
        <v>186</v>
      </c>
      <c r="C19" s="1" t="s">
        <v>131</v>
      </c>
      <c r="D19" s="1" t="s">
        <v>47</v>
      </c>
      <c r="E19" s="1" t="str">
        <f t="shared" si="0"/>
        <v>회사원(강북)</v>
      </c>
      <c r="F19" s="21">
        <v>21</v>
      </c>
      <c r="G19" s="3">
        <v>9870000</v>
      </c>
      <c r="H19" s="1" t="s">
        <v>22</v>
      </c>
      <c r="I19" s="1" t="s">
        <v>61</v>
      </c>
      <c r="J19" s="3" t="str">
        <f t="shared" ca="1" si="1"/>
        <v>대출없음</v>
      </c>
      <c r="K19" s="1" t="str" cm="1">
        <f t="array" ref="K19">fn비고(F19,G19)</f>
        <v/>
      </c>
    </row>
    <row r="20" spans="2:11" x14ac:dyDescent="0.3">
      <c r="B20" s="1" t="s">
        <v>157</v>
      </c>
      <c r="C20" s="1" t="s">
        <v>132</v>
      </c>
      <c r="D20" s="1" t="s">
        <v>35</v>
      </c>
      <c r="E20" s="1" t="str">
        <f t="shared" si="0"/>
        <v>의사(강북)</v>
      </c>
      <c r="F20" s="21">
        <v>57</v>
      </c>
      <c r="G20" s="3">
        <v>26790000</v>
      </c>
      <c r="H20" s="3" t="s">
        <v>12</v>
      </c>
      <c r="I20" s="1" t="s">
        <v>61</v>
      </c>
      <c r="J20" s="3" t="str">
        <f t="shared" ca="1" si="1"/>
        <v>대출없음</v>
      </c>
      <c r="K20" s="1" t="str" cm="1">
        <f t="array" ref="K20">fn비고(F20,G20)</f>
        <v>우수회원</v>
      </c>
    </row>
    <row r="21" spans="2:11" x14ac:dyDescent="0.3">
      <c r="B21" s="1" t="s">
        <v>158</v>
      </c>
      <c r="C21" s="1" t="s">
        <v>133</v>
      </c>
      <c r="D21" s="1" t="s">
        <v>51</v>
      </c>
      <c r="E21" s="1" t="str">
        <f t="shared" si="0"/>
        <v>공무원(강서)</v>
      </c>
      <c r="F21" s="21">
        <v>5</v>
      </c>
      <c r="G21" s="3">
        <v>2350000</v>
      </c>
      <c r="H21" s="3" t="s">
        <v>62</v>
      </c>
      <c r="I21" s="1" t="s">
        <v>12</v>
      </c>
      <c r="J21" s="3" t="str">
        <f t="shared" ca="1" si="1"/>
        <v>대출없음</v>
      </c>
      <c r="K21" s="1" t="str" cm="1">
        <f t="array" ref="K21">fn비고(F21,G21)</f>
        <v/>
      </c>
    </row>
    <row r="22" spans="2:11" x14ac:dyDescent="0.3">
      <c r="B22" s="1" t="s">
        <v>159</v>
      </c>
      <c r="C22" s="1" t="s">
        <v>204</v>
      </c>
      <c r="D22" s="1" t="s">
        <v>37</v>
      </c>
      <c r="E22" s="1" t="str">
        <f t="shared" si="0"/>
        <v>의사(강남)</v>
      </c>
      <c r="F22" s="21">
        <v>56</v>
      </c>
      <c r="G22" s="3">
        <v>26320000</v>
      </c>
      <c r="H22" s="3">
        <v>22000000</v>
      </c>
      <c r="I22" s="1">
        <v>5</v>
      </c>
      <c r="J22" s="3">
        <f t="shared" ca="1" si="1"/>
        <v>403180.9023991758</v>
      </c>
      <c r="K22" s="1" t="str" cm="1">
        <f t="array" ref="K22">fn비고(F22,G22)</f>
        <v>우수회원</v>
      </c>
    </row>
    <row r="23" spans="2:11" x14ac:dyDescent="0.3">
      <c r="B23" s="1" t="s">
        <v>187</v>
      </c>
      <c r="C23" s="1" t="s">
        <v>134</v>
      </c>
      <c r="D23" s="1" t="s">
        <v>10</v>
      </c>
      <c r="E23" s="1" t="str">
        <f t="shared" si="0"/>
        <v>회사원(강동)</v>
      </c>
      <c r="F23" s="21">
        <v>5</v>
      </c>
      <c r="G23" s="3">
        <v>2350000</v>
      </c>
      <c r="H23" s="3">
        <v>2000000</v>
      </c>
      <c r="I23" s="1">
        <v>4</v>
      </c>
      <c r="J23" s="3">
        <f t="shared" ca="1" si="1"/>
        <v>45337.323944525269</v>
      </c>
      <c r="K23" s="1" t="str" cm="1">
        <f t="array" ref="K23">fn비고(F23,G23)</f>
        <v/>
      </c>
    </row>
    <row r="24" spans="2:11" x14ac:dyDescent="0.3">
      <c r="B24" s="1" t="s">
        <v>161</v>
      </c>
      <c r="C24" s="1" t="s">
        <v>135</v>
      </c>
      <c r="D24" s="1" t="s">
        <v>14</v>
      </c>
      <c r="E24" s="1" t="str">
        <f t="shared" si="0"/>
        <v>공무원(강남)</v>
      </c>
      <c r="F24" s="21">
        <v>20</v>
      </c>
      <c r="G24" s="3">
        <v>9400000</v>
      </c>
      <c r="H24" s="1" t="s">
        <v>22</v>
      </c>
      <c r="I24" s="1" t="s">
        <v>22</v>
      </c>
      <c r="J24" s="3" t="str">
        <f t="shared" ca="1" si="1"/>
        <v>대출없음</v>
      </c>
      <c r="K24" s="1" t="str" cm="1">
        <f t="array" ref="K24">fn비고(F24,G24)</f>
        <v/>
      </c>
    </row>
    <row r="25" spans="2:11" x14ac:dyDescent="0.3">
      <c r="B25" s="1" t="s">
        <v>162</v>
      </c>
      <c r="C25" s="1" t="s">
        <v>136</v>
      </c>
      <c r="D25" s="1" t="s">
        <v>167</v>
      </c>
      <c r="E25" s="1" t="str">
        <f t="shared" si="0"/>
        <v>자영업(강북)</v>
      </c>
      <c r="F25" s="21">
        <v>25</v>
      </c>
      <c r="G25" s="3">
        <v>11750000</v>
      </c>
      <c r="H25" s="3">
        <v>10000000</v>
      </c>
      <c r="I25" s="1">
        <v>3</v>
      </c>
      <c r="J25" s="3">
        <f t="shared" ca="1" si="1"/>
        <v>301959.01804310281</v>
      </c>
      <c r="K25" s="1" t="str" cm="1">
        <f t="array" ref="K25">fn비고(F25,G25)</f>
        <v/>
      </c>
    </row>
    <row r="26" spans="2:11" x14ac:dyDescent="0.3">
      <c r="B26" s="1" t="s">
        <v>188</v>
      </c>
      <c r="C26" s="1" t="s">
        <v>137</v>
      </c>
      <c r="D26" s="1" t="s">
        <v>33</v>
      </c>
      <c r="E26" s="1" t="str">
        <f t="shared" si="0"/>
        <v>회사원(강남)</v>
      </c>
      <c r="F26" s="21">
        <v>31</v>
      </c>
      <c r="G26" s="3">
        <v>14570000</v>
      </c>
      <c r="H26" s="3">
        <v>10000000</v>
      </c>
      <c r="I26" s="1">
        <v>4</v>
      </c>
      <c r="J26" s="3">
        <f t="shared" ca="1" si="1"/>
        <v>226686.61972262635</v>
      </c>
      <c r="K26" s="1" t="str" cm="1">
        <f t="array" ref="K26">fn비고(F26,G26)</f>
        <v/>
      </c>
    </row>
    <row r="27" spans="2:11" x14ac:dyDescent="0.3">
      <c r="B27" s="1" t="s">
        <v>164</v>
      </c>
      <c r="C27" s="1" t="s">
        <v>138</v>
      </c>
      <c r="D27" s="1" t="s">
        <v>24</v>
      </c>
      <c r="E27" s="1" t="str">
        <f t="shared" si="0"/>
        <v>자영업(강동)</v>
      </c>
      <c r="F27" s="21">
        <v>17</v>
      </c>
      <c r="G27" s="3">
        <v>7990000</v>
      </c>
      <c r="H27" s="3">
        <v>10000000</v>
      </c>
      <c r="I27" s="1">
        <v>2</v>
      </c>
      <c r="J27" s="3">
        <f t="shared" ca="1" si="1"/>
        <v>443206.10252756893</v>
      </c>
      <c r="K27" s="1" t="str" cm="1">
        <f t="array" ref="K27">fn비고(F27,G27)</f>
        <v/>
      </c>
    </row>
    <row r="28" spans="2:11" x14ac:dyDescent="0.3">
      <c r="B28" s="1" t="s">
        <v>165</v>
      </c>
      <c r="C28" s="1" t="s">
        <v>139</v>
      </c>
      <c r="D28" s="1" t="s">
        <v>55</v>
      </c>
      <c r="E28" s="1" t="str">
        <f t="shared" si="0"/>
        <v>공무원(강북)</v>
      </c>
      <c r="F28" s="21">
        <v>23</v>
      </c>
      <c r="G28" s="3">
        <v>10810000</v>
      </c>
      <c r="H28" s="3">
        <v>10000000</v>
      </c>
      <c r="I28" s="1">
        <v>1</v>
      </c>
      <c r="J28" s="3">
        <f t="shared" ca="1" si="1"/>
        <v>856074.81788467127</v>
      </c>
      <c r="K28" s="1" t="str" cm="1">
        <f t="array" ref="K28">fn비고(F28,G28)</f>
        <v/>
      </c>
    </row>
    <row r="30" spans="2:11" x14ac:dyDescent="0.3">
      <c r="B30" t="s">
        <v>63</v>
      </c>
    </row>
    <row r="31" spans="2:11" ht="16.5" customHeight="1" x14ac:dyDescent="0.3">
      <c r="D31" s="28" t="s">
        <v>7</v>
      </c>
      <c r="E31" s="29"/>
      <c r="F31" s="29"/>
      <c r="G31" s="29"/>
      <c r="H31" s="30"/>
    </row>
    <row r="32" spans="2:11" x14ac:dyDescent="0.3">
      <c r="B32" s="1" t="s">
        <v>65</v>
      </c>
      <c r="C32" s="5" t="s">
        <v>3</v>
      </c>
      <c r="D32" s="1">
        <v>1</v>
      </c>
      <c r="E32" s="1">
        <v>2</v>
      </c>
      <c r="F32" s="1">
        <v>3</v>
      </c>
      <c r="G32" s="1">
        <v>4</v>
      </c>
      <c r="H32" s="1">
        <v>5</v>
      </c>
    </row>
    <row r="33" spans="2:8" x14ac:dyDescent="0.3">
      <c r="B33" s="1" t="s">
        <v>176</v>
      </c>
      <c r="C33" s="1" t="s">
        <v>182</v>
      </c>
      <c r="D33" s="6">
        <v>6.5000000000000002E-2</v>
      </c>
      <c r="E33" s="6">
        <v>0.06</v>
      </c>
      <c r="F33" s="6">
        <v>5.5E-2</v>
      </c>
      <c r="G33" s="6">
        <v>0.05</v>
      </c>
      <c r="H33" s="6">
        <v>4.4999999999999998E-2</v>
      </c>
    </row>
    <row r="34" spans="2:8" x14ac:dyDescent="0.3">
      <c r="B34" s="1" t="s">
        <v>180</v>
      </c>
      <c r="C34" s="1" t="s">
        <v>181</v>
      </c>
      <c r="D34" s="6">
        <v>5.5E-2</v>
      </c>
      <c r="E34" s="6">
        <v>5.2999999999999999E-2</v>
      </c>
      <c r="F34" s="6">
        <v>4.4999999999999998E-2</v>
      </c>
      <c r="G34" s="6">
        <v>4.2000000000000003E-2</v>
      </c>
      <c r="H34" s="6">
        <v>3.7999999999999999E-2</v>
      </c>
    </row>
    <row r="35" spans="2:8" x14ac:dyDescent="0.3">
      <c r="B35" s="1" t="s">
        <v>179</v>
      </c>
      <c r="C35" s="1" t="s">
        <v>183</v>
      </c>
      <c r="D35" s="6">
        <v>0.05</v>
      </c>
      <c r="E35" s="6">
        <v>4.5999999999999999E-2</v>
      </c>
      <c r="F35" s="6">
        <v>4.2000000000000003E-2</v>
      </c>
      <c r="G35" s="6">
        <v>3.7999999999999999E-2</v>
      </c>
      <c r="H35" s="6">
        <v>3.4000000000000002E-2</v>
      </c>
    </row>
    <row r="36" spans="2:8" x14ac:dyDescent="0.3">
      <c r="B36" s="1" t="s">
        <v>177</v>
      </c>
      <c r="C36" s="1" t="s">
        <v>184</v>
      </c>
      <c r="D36" s="6">
        <v>5.8000000000000003E-2</v>
      </c>
      <c r="E36" s="6">
        <v>5.2999999999999999E-2</v>
      </c>
      <c r="F36" s="6">
        <v>4.8000000000000001E-2</v>
      </c>
      <c r="G36" s="6">
        <v>4.2999999999999997E-2</v>
      </c>
      <c r="H36" s="6">
        <v>3.7999999999999999E-2</v>
      </c>
    </row>
    <row r="37" spans="2:8" x14ac:dyDescent="0.3">
      <c r="B37" s="1" t="s">
        <v>178</v>
      </c>
      <c r="C37" s="1" t="s">
        <v>185</v>
      </c>
      <c r="D37" s="6">
        <v>5.8000000000000003E-2</v>
      </c>
      <c r="E37" s="6">
        <v>5.2999999999999999E-2</v>
      </c>
      <c r="F37" s="6">
        <v>4.8000000000000001E-2</v>
      </c>
      <c r="G37" s="6">
        <v>4.2999999999999997E-2</v>
      </c>
      <c r="H37" s="6">
        <v>3.7999999999999999E-2</v>
      </c>
    </row>
  </sheetData>
  <mergeCells count="3">
    <mergeCell ref="D31:H31"/>
    <mergeCell ref="M11:N11"/>
    <mergeCell ref="M12:N12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H17"/>
  <sheetViews>
    <sheetView workbookViewId="0">
      <selection activeCell="C6" sqref="C6"/>
    </sheetView>
  </sheetViews>
  <sheetFormatPr defaultRowHeight="16.5" x14ac:dyDescent="0.3"/>
  <cols>
    <col min="2" max="2" width="21.375" customWidth="1"/>
    <col min="3" max="3" width="16" customWidth="1"/>
    <col min="4" max="4" width="14.5" customWidth="1"/>
    <col min="5" max="5" width="13.625" bestFit="1" customWidth="1"/>
    <col min="6" max="7" width="14.5" customWidth="1"/>
    <col min="8" max="8" width="13.625" bestFit="1" customWidth="1"/>
    <col min="9" max="9" width="12.75" customWidth="1"/>
    <col min="10" max="10" width="16.5" bestFit="1" customWidth="1"/>
    <col min="11" max="11" width="15.25" bestFit="1" customWidth="1"/>
    <col min="12" max="12" width="16.5" bestFit="1" customWidth="1"/>
    <col min="13" max="13" width="20.125" bestFit="1" customWidth="1"/>
    <col min="14" max="14" width="21.375" bestFit="1" customWidth="1"/>
  </cols>
  <sheetData>
    <row r="2" spans="2:8" x14ac:dyDescent="0.3">
      <c r="D2" s="23" t="s">
        <v>206</v>
      </c>
    </row>
    <row r="3" spans="2:8" x14ac:dyDescent="0.3">
      <c r="B3" s="23" t="s">
        <v>67</v>
      </c>
      <c r="C3" s="23" t="s">
        <v>217</v>
      </c>
      <c r="D3" t="s">
        <v>207</v>
      </c>
      <c r="E3" t="s">
        <v>211</v>
      </c>
      <c r="F3" t="s">
        <v>208</v>
      </c>
      <c r="G3" t="s">
        <v>210</v>
      </c>
      <c r="H3" t="s">
        <v>227</v>
      </c>
    </row>
    <row r="4" spans="2:8" x14ac:dyDescent="0.3">
      <c r="B4" t="s">
        <v>18</v>
      </c>
    </row>
    <row r="5" spans="2:8" x14ac:dyDescent="0.3">
      <c r="C5" t="s">
        <v>213</v>
      </c>
      <c r="D5" s="24">
        <v>9830000</v>
      </c>
      <c r="E5" s="24" t="s">
        <v>218</v>
      </c>
      <c r="F5" s="24">
        <v>9170000</v>
      </c>
      <c r="G5" s="24">
        <v>33100000</v>
      </c>
      <c r="H5" s="24" t="s">
        <v>218</v>
      </c>
    </row>
    <row r="6" spans="2:8" x14ac:dyDescent="0.3">
      <c r="C6" t="s">
        <v>216</v>
      </c>
      <c r="D6" s="24">
        <v>9830000</v>
      </c>
      <c r="E6" s="24" t="s">
        <v>218</v>
      </c>
      <c r="F6" s="24">
        <v>9170000</v>
      </c>
      <c r="G6" s="24">
        <v>11033333.333333334</v>
      </c>
      <c r="H6" s="24" t="s">
        <v>218</v>
      </c>
    </row>
    <row r="7" spans="2:8" x14ac:dyDescent="0.3">
      <c r="B7" t="s">
        <v>21</v>
      </c>
      <c r="D7" s="24"/>
      <c r="E7" s="24"/>
      <c r="F7" s="24"/>
      <c r="G7" s="24"/>
      <c r="H7" s="24"/>
    </row>
    <row r="8" spans="2:8" x14ac:dyDescent="0.3">
      <c r="C8" t="s">
        <v>213</v>
      </c>
      <c r="D8" s="24">
        <v>34710000</v>
      </c>
      <c r="E8" s="24">
        <v>28820000</v>
      </c>
      <c r="F8" s="24">
        <v>8190000</v>
      </c>
      <c r="G8" s="24">
        <v>1970000</v>
      </c>
      <c r="H8" s="24">
        <v>7210000</v>
      </c>
    </row>
    <row r="9" spans="2:8" x14ac:dyDescent="0.3">
      <c r="C9" t="s">
        <v>216</v>
      </c>
      <c r="D9" s="24">
        <v>8677500</v>
      </c>
      <c r="E9" s="24">
        <v>14410000</v>
      </c>
      <c r="F9" s="24">
        <v>8190000</v>
      </c>
      <c r="G9" s="24">
        <v>1970000</v>
      </c>
      <c r="H9" s="24">
        <v>7210000</v>
      </c>
    </row>
    <row r="10" spans="2:8" x14ac:dyDescent="0.3">
      <c r="B10" t="s">
        <v>212</v>
      </c>
      <c r="D10" s="24"/>
      <c r="E10" s="24"/>
      <c r="F10" s="24"/>
      <c r="G10" s="24"/>
      <c r="H10" s="24"/>
    </row>
    <row r="11" spans="2:8" x14ac:dyDescent="0.3">
      <c r="C11" t="s">
        <v>213</v>
      </c>
      <c r="D11" s="24">
        <v>18350000</v>
      </c>
      <c r="E11" s="24" t="s">
        <v>218</v>
      </c>
      <c r="F11" s="24">
        <v>17040000</v>
      </c>
      <c r="G11" s="24">
        <v>12450000</v>
      </c>
      <c r="H11" s="24" t="s">
        <v>218</v>
      </c>
    </row>
    <row r="12" spans="2:8" x14ac:dyDescent="0.3">
      <c r="C12" t="s">
        <v>216</v>
      </c>
      <c r="D12" s="24">
        <v>9175000</v>
      </c>
      <c r="E12" s="24" t="s">
        <v>218</v>
      </c>
      <c r="F12" s="24">
        <v>17040000</v>
      </c>
      <c r="G12" s="24">
        <v>12450000</v>
      </c>
      <c r="H12" s="24" t="s">
        <v>218</v>
      </c>
    </row>
    <row r="13" spans="2:8" x14ac:dyDescent="0.3">
      <c r="B13" t="s">
        <v>11</v>
      </c>
      <c r="D13" s="24"/>
      <c r="E13" s="24"/>
      <c r="F13" s="24"/>
      <c r="G13" s="24"/>
      <c r="H13" s="24"/>
    </row>
    <row r="14" spans="2:8" x14ac:dyDescent="0.3">
      <c r="C14" t="s">
        <v>213</v>
      </c>
      <c r="D14" s="24">
        <v>2950000</v>
      </c>
      <c r="E14" s="24" t="s">
        <v>218</v>
      </c>
      <c r="F14" s="24">
        <v>24900000</v>
      </c>
      <c r="G14" s="24">
        <v>4910000</v>
      </c>
      <c r="H14" s="24">
        <v>19660000</v>
      </c>
    </row>
    <row r="15" spans="2:8" x14ac:dyDescent="0.3">
      <c r="C15" t="s">
        <v>216</v>
      </c>
      <c r="D15" s="24">
        <v>1475000</v>
      </c>
      <c r="E15" s="24" t="s">
        <v>218</v>
      </c>
      <c r="F15" s="24">
        <v>8300000</v>
      </c>
      <c r="G15" s="24">
        <v>4910000</v>
      </c>
      <c r="H15" s="24">
        <v>19660000</v>
      </c>
    </row>
    <row r="16" spans="2:8" x14ac:dyDescent="0.3">
      <c r="B16" t="s">
        <v>214</v>
      </c>
      <c r="D16" s="24">
        <v>65840000</v>
      </c>
      <c r="E16" s="24">
        <v>28820000</v>
      </c>
      <c r="F16" s="24">
        <v>59300000</v>
      </c>
      <c r="G16" s="24">
        <v>52430000</v>
      </c>
      <c r="H16" s="24">
        <v>26870000</v>
      </c>
    </row>
    <row r="17" spans="2:8" x14ac:dyDescent="0.3">
      <c r="B17" t="s">
        <v>215</v>
      </c>
      <c r="D17" s="24">
        <v>7315555.555555556</v>
      </c>
      <c r="E17" s="24">
        <v>14410000</v>
      </c>
      <c r="F17" s="24">
        <v>9883333.333333334</v>
      </c>
      <c r="G17" s="24">
        <v>8738333.333333334</v>
      </c>
      <c r="H17" s="24">
        <v>13435000</v>
      </c>
    </row>
  </sheetData>
  <sortState xmlns:xlrd2="http://schemas.microsoft.com/office/spreadsheetml/2017/richdata2" ref="B3:I27">
    <sortCondition ref="C2"/>
  </sortState>
  <phoneticPr fontId="2" type="noConversion"/>
  <pageMargins left="0.7" right="0.7" top="0.75" bottom="0.75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A1:H27"/>
  <sheetViews>
    <sheetView workbookViewId="0">
      <selection activeCell="K32" sqref="K32"/>
    </sheetView>
  </sheetViews>
  <sheetFormatPr defaultRowHeight="16.5" x14ac:dyDescent="0.3"/>
  <cols>
    <col min="2" max="2" width="7.375" bestFit="1" customWidth="1"/>
    <col min="3" max="3" width="16.25" bestFit="1" customWidth="1"/>
    <col min="4" max="4" width="7.75" customWidth="1"/>
    <col min="6" max="7" width="15.25" bestFit="1" customWidth="1"/>
  </cols>
  <sheetData>
    <row r="1" spans="1:8" x14ac:dyDescent="0.3">
      <c r="A1" t="s">
        <v>0</v>
      </c>
    </row>
    <row r="2" spans="1:8" x14ac:dyDescent="0.3">
      <c r="A2" s="1" t="s">
        <v>140</v>
      </c>
      <c r="B2" s="1" t="s">
        <v>115</v>
      </c>
      <c r="C2" s="1" t="s">
        <v>2</v>
      </c>
      <c r="D2" s="1" t="s">
        <v>97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hidden="1" x14ac:dyDescent="0.3">
      <c r="A3" s="1" t="s">
        <v>141</v>
      </c>
      <c r="B3" s="1" t="s">
        <v>9</v>
      </c>
      <c r="C3" s="1" t="s">
        <v>77</v>
      </c>
      <c r="D3" s="1" t="s">
        <v>105</v>
      </c>
      <c r="E3" s="1">
        <v>25</v>
      </c>
      <c r="F3" s="3">
        <v>8189800</v>
      </c>
      <c r="G3" s="3">
        <v>0</v>
      </c>
      <c r="H3" s="1">
        <v>0</v>
      </c>
    </row>
    <row r="4" spans="1:8" hidden="1" x14ac:dyDescent="0.3">
      <c r="A4" s="1" t="s">
        <v>142</v>
      </c>
      <c r="B4" s="1" t="s">
        <v>13</v>
      </c>
      <c r="C4" s="1" t="s">
        <v>85</v>
      </c>
      <c r="D4" s="1" t="s">
        <v>98</v>
      </c>
      <c r="E4" s="1">
        <v>30</v>
      </c>
      <c r="F4" s="3">
        <v>9827760</v>
      </c>
      <c r="G4" s="3">
        <f t="shared" ref="G4:G27" si="0">ROUND(F4/2,-5)</f>
        <v>4900000</v>
      </c>
      <c r="H4" s="1">
        <v>3</v>
      </c>
    </row>
    <row r="5" spans="1:8" hidden="1" x14ac:dyDescent="0.3">
      <c r="A5" s="1" t="s">
        <v>143</v>
      </c>
      <c r="B5" s="1" t="s">
        <v>15</v>
      </c>
      <c r="C5" s="1" t="s">
        <v>86</v>
      </c>
      <c r="D5" s="1" t="s">
        <v>99</v>
      </c>
      <c r="E5" s="1">
        <v>52</v>
      </c>
      <c r="F5" s="3">
        <v>17034784</v>
      </c>
      <c r="G5" s="3">
        <f t="shared" si="0"/>
        <v>8500000</v>
      </c>
      <c r="H5" s="1">
        <v>5</v>
      </c>
    </row>
    <row r="6" spans="1:8" x14ac:dyDescent="0.3">
      <c r="A6" s="1" t="s">
        <v>144</v>
      </c>
      <c r="B6" s="1" t="s">
        <v>17</v>
      </c>
      <c r="C6" s="1" t="s">
        <v>87</v>
      </c>
      <c r="D6" s="1" t="s">
        <v>98</v>
      </c>
      <c r="E6" s="1">
        <v>28</v>
      </c>
      <c r="F6" s="3">
        <v>9172576</v>
      </c>
      <c r="G6" s="3">
        <f t="shared" si="0"/>
        <v>4600000</v>
      </c>
      <c r="H6" s="1">
        <v>4</v>
      </c>
    </row>
    <row r="7" spans="1:8" hidden="1" x14ac:dyDescent="0.3">
      <c r="A7" s="1" t="s">
        <v>145</v>
      </c>
      <c r="B7" s="1" t="s">
        <v>19</v>
      </c>
      <c r="C7" s="1" t="s">
        <v>20</v>
      </c>
      <c r="D7" s="1" t="s">
        <v>98</v>
      </c>
      <c r="E7" s="1">
        <v>10</v>
      </c>
      <c r="F7" s="3">
        <v>3275920</v>
      </c>
      <c r="G7" s="3">
        <f t="shared" si="0"/>
        <v>1600000</v>
      </c>
      <c r="H7" s="1">
        <v>3</v>
      </c>
    </row>
    <row r="8" spans="1:8" hidden="1" x14ac:dyDescent="0.3">
      <c r="A8" s="1" t="s">
        <v>146</v>
      </c>
      <c r="B8" s="1" t="s">
        <v>23</v>
      </c>
      <c r="C8" s="1" t="s">
        <v>88</v>
      </c>
      <c r="D8" s="1" t="s">
        <v>98</v>
      </c>
      <c r="E8" s="1">
        <v>5</v>
      </c>
      <c r="F8" s="3">
        <v>1637960</v>
      </c>
      <c r="G8" s="3">
        <v>0</v>
      </c>
      <c r="H8" s="1">
        <v>0</v>
      </c>
    </row>
    <row r="9" spans="1:8" x14ac:dyDescent="0.3">
      <c r="A9" s="1" t="s">
        <v>147</v>
      </c>
      <c r="B9" s="1" t="s">
        <v>25</v>
      </c>
      <c r="C9" s="1" t="s">
        <v>78</v>
      </c>
      <c r="D9" s="1" t="s">
        <v>101</v>
      </c>
      <c r="E9" s="1">
        <v>40</v>
      </c>
      <c r="F9" s="3">
        <v>13103680</v>
      </c>
      <c r="G9" s="3">
        <f t="shared" si="0"/>
        <v>6600000</v>
      </c>
      <c r="H9" s="1">
        <v>3</v>
      </c>
    </row>
    <row r="10" spans="1:8" hidden="1" x14ac:dyDescent="0.3">
      <c r="A10" s="1" t="s">
        <v>148</v>
      </c>
      <c r="B10" s="1" t="s">
        <v>26</v>
      </c>
      <c r="C10" s="1" t="s">
        <v>27</v>
      </c>
      <c r="D10" s="1" t="s">
        <v>102</v>
      </c>
      <c r="E10" s="1">
        <v>60</v>
      </c>
      <c r="F10" s="3">
        <v>19655520</v>
      </c>
      <c r="G10" s="3">
        <f t="shared" si="0"/>
        <v>9800000</v>
      </c>
      <c r="H10" s="1">
        <v>5</v>
      </c>
    </row>
    <row r="11" spans="1:8" x14ac:dyDescent="0.3">
      <c r="A11" s="1" t="s">
        <v>149</v>
      </c>
      <c r="B11" s="1" t="s">
        <v>28</v>
      </c>
      <c r="C11" s="1" t="s">
        <v>89</v>
      </c>
      <c r="D11" s="1" t="s">
        <v>102</v>
      </c>
      <c r="E11" s="1">
        <v>22</v>
      </c>
      <c r="F11" s="3">
        <v>7207024</v>
      </c>
      <c r="G11" s="3">
        <v>0</v>
      </c>
      <c r="H11" s="1">
        <v>0</v>
      </c>
    </row>
    <row r="12" spans="1:8" hidden="1" x14ac:dyDescent="0.3">
      <c r="A12" s="1" t="s">
        <v>150</v>
      </c>
      <c r="B12" s="1" t="s">
        <v>30</v>
      </c>
      <c r="C12" s="1" t="s">
        <v>90</v>
      </c>
      <c r="D12" s="1" t="s">
        <v>99</v>
      </c>
      <c r="E12" s="1">
        <v>38</v>
      </c>
      <c r="F12" s="3">
        <v>12448496</v>
      </c>
      <c r="G12" s="3">
        <f t="shared" si="0"/>
        <v>6200000</v>
      </c>
      <c r="H12" s="1">
        <v>4</v>
      </c>
    </row>
    <row r="13" spans="1:8" hidden="1" x14ac:dyDescent="0.3">
      <c r="A13" s="1" t="s">
        <v>151</v>
      </c>
      <c r="B13" s="1" t="s">
        <v>31</v>
      </c>
      <c r="C13" s="1" t="s">
        <v>79</v>
      </c>
      <c r="D13" s="1" t="s">
        <v>98</v>
      </c>
      <c r="E13" s="1">
        <v>46</v>
      </c>
      <c r="F13" s="3">
        <v>15069232</v>
      </c>
      <c r="G13" s="3">
        <f t="shared" si="0"/>
        <v>7500000</v>
      </c>
      <c r="H13" s="1">
        <v>6</v>
      </c>
    </row>
    <row r="14" spans="1:8" x14ac:dyDescent="0.3">
      <c r="A14" s="1" t="s">
        <v>152</v>
      </c>
      <c r="B14" s="1" t="s">
        <v>32</v>
      </c>
      <c r="C14" s="1" t="s">
        <v>33</v>
      </c>
      <c r="D14" s="1" t="s">
        <v>105</v>
      </c>
      <c r="E14" s="1">
        <v>29</v>
      </c>
      <c r="F14" s="3">
        <v>9500168</v>
      </c>
      <c r="G14" s="3">
        <v>0</v>
      </c>
      <c r="H14" s="1">
        <v>0</v>
      </c>
    </row>
    <row r="15" spans="1:8" hidden="1" x14ac:dyDescent="0.3">
      <c r="A15" s="1" t="s">
        <v>153</v>
      </c>
      <c r="B15" s="1" t="s">
        <v>34</v>
      </c>
      <c r="C15" s="1" t="s">
        <v>80</v>
      </c>
      <c r="D15" s="1" t="s">
        <v>105</v>
      </c>
      <c r="E15" s="1">
        <v>28</v>
      </c>
      <c r="F15" s="3">
        <v>9172576</v>
      </c>
      <c r="G15" s="3">
        <f t="shared" si="0"/>
        <v>4600000</v>
      </c>
      <c r="H15" s="1">
        <v>3</v>
      </c>
    </row>
    <row r="16" spans="1:8" hidden="1" x14ac:dyDescent="0.3">
      <c r="A16" s="1" t="s">
        <v>154</v>
      </c>
      <c r="B16" s="1" t="s">
        <v>36</v>
      </c>
      <c r="C16" s="1" t="s">
        <v>91</v>
      </c>
      <c r="D16" s="1" t="s">
        <v>101</v>
      </c>
      <c r="E16" s="1">
        <v>48</v>
      </c>
      <c r="F16" s="3">
        <v>15724416</v>
      </c>
      <c r="G16" s="3">
        <f t="shared" si="0"/>
        <v>7900000</v>
      </c>
      <c r="H16" s="1">
        <v>2</v>
      </c>
    </row>
    <row r="17" spans="1:8" hidden="1" x14ac:dyDescent="0.3">
      <c r="A17" s="1" t="s">
        <v>155</v>
      </c>
      <c r="B17" s="1" t="s">
        <v>38</v>
      </c>
      <c r="C17" s="1" t="s">
        <v>92</v>
      </c>
      <c r="D17" s="1" t="s">
        <v>105</v>
      </c>
      <c r="E17" s="1">
        <v>37</v>
      </c>
      <c r="F17" s="3">
        <v>12120904</v>
      </c>
      <c r="G17" s="3">
        <f t="shared" si="0"/>
        <v>6100000</v>
      </c>
      <c r="H17" s="1">
        <v>8</v>
      </c>
    </row>
    <row r="18" spans="1:8" hidden="1" x14ac:dyDescent="0.3">
      <c r="A18" s="1" t="s">
        <v>156</v>
      </c>
      <c r="B18" s="1" t="s">
        <v>39</v>
      </c>
      <c r="C18" s="1" t="s">
        <v>40</v>
      </c>
      <c r="D18" s="1" t="s">
        <v>99</v>
      </c>
      <c r="E18" s="1">
        <v>10</v>
      </c>
      <c r="F18" s="3">
        <v>3275920</v>
      </c>
      <c r="G18" s="3">
        <v>0</v>
      </c>
      <c r="H18" s="1">
        <v>0</v>
      </c>
    </row>
    <row r="19" spans="1:8" hidden="1" x14ac:dyDescent="0.3">
      <c r="A19" s="1" t="s">
        <v>157</v>
      </c>
      <c r="B19" s="1" t="s">
        <v>41</v>
      </c>
      <c r="C19" s="1" t="s">
        <v>81</v>
      </c>
      <c r="D19" s="1" t="s">
        <v>98</v>
      </c>
      <c r="E19" s="1">
        <v>4</v>
      </c>
      <c r="F19" s="3">
        <v>1310368</v>
      </c>
      <c r="G19" s="3">
        <v>0</v>
      </c>
      <c r="H19" s="1">
        <v>0</v>
      </c>
    </row>
    <row r="20" spans="1:8" hidden="1" x14ac:dyDescent="0.3">
      <c r="A20" s="1" t="s">
        <v>158</v>
      </c>
      <c r="B20" s="1" t="s">
        <v>42</v>
      </c>
      <c r="C20" s="1" t="s">
        <v>93</v>
      </c>
      <c r="D20" s="1" t="s">
        <v>98</v>
      </c>
      <c r="E20" s="1">
        <v>11</v>
      </c>
      <c r="F20" s="3">
        <v>3603512</v>
      </c>
      <c r="G20" s="3">
        <f t="shared" si="0"/>
        <v>1800000</v>
      </c>
      <c r="H20" s="1">
        <v>2</v>
      </c>
    </row>
    <row r="21" spans="1:8" hidden="1" x14ac:dyDescent="0.3">
      <c r="A21" s="1" t="s">
        <v>159</v>
      </c>
      <c r="B21" s="1" t="s">
        <v>43</v>
      </c>
      <c r="C21" s="1" t="s">
        <v>82</v>
      </c>
      <c r="D21" s="1" t="s">
        <v>99</v>
      </c>
      <c r="E21" s="1">
        <v>15</v>
      </c>
      <c r="F21" s="3">
        <v>4913880</v>
      </c>
      <c r="G21" s="3">
        <f t="shared" si="0"/>
        <v>2500000</v>
      </c>
      <c r="H21" s="1">
        <v>4</v>
      </c>
    </row>
    <row r="22" spans="1:8" x14ac:dyDescent="0.3">
      <c r="A22" s="1" t="s">
        <v>160</v>
      </c>
      <c r="B22" s="1" t="s">
        <v>45</v>
      </c>
      <c r="C22" s="1" t="s">
        <v>83</v>
      </c>
      <c r="D22" s="1" t="s">
        <v>98</v>
      </c>
      <c r="E22" s="1">
        <v>19</v>
      </c>
      <c r="F22" s="3">
        <v>6224248</v>
      </c>
      <c r="G22" s="3">
        <f t="shared" si="0"/>
        <v>3100000</v>
      </c>
      <c r="H22" s="1">
        <v>3</v>
      </c>
    </row>
    <row r="23" spans="1:8" hidden="1" x14ac:dyDescent="0.3">
      <c r="A23" s="1" t="s">
        <v>161</v>
      </c>
      <c r="B23" s="1" t="s">
        <v>46</v>
      </c>
      <c r="C23" s="1" t="s">
        <v>94</v>
      </c>
      <c r="D23" s="1" t="s">
        <v>99</v>
      </c>
      <c r="E23" s="1">
        <v>39</v>
      </c>
      <c r="F23" s="3">
        <v>12776088</v>
      </c>
      <c r="G23" s="3">
        <f t="shared" si="0"/>
        <v>6400000</v>
      </c>
      <c r="H23" s="1">
        <v>2</v>
      </c>
    </row>
    <row r="24" spans="1:8" hidden="1" x14ac:dyDescent="0.3">
      <c r="A24" s="1" t="s">
        <v>162</v>
      </c>
      <c r="B24" s="1" t="s">
        <v>48</v>
      </c>
      <c r="C24" s="1" t="s">
        <v>95</v>
      </c>
      <c r="D24" s="1" t="s">
        <v>98</v>
      </c>
      <c r="E24" s="1">
        <v>48</v>
      </c>
      <c r="F24" s="3">
        <v>15724416</v>
      </c>
      <c r="G24" s="3">
        <f t="shared" si="0"/>
        <v>7900000</v>
      </c>
      <c r="H24" s="1">
        <v>1</v>
      </c>
    </row>
    <row r="25" spans="1:8" hidden="1" x14ac:dyDescent="0.3">
      <c r="A25" s="1" t="s">
        <v>163</v>
      </c>
      <c r="B25" s="1" t="s">
        <v>50</v>
      </c>
      <c r="C25" s="1" t="s">
        <v>51</v>
      </c>
      <c r="D25" s="1" t="s">
        <v>105</v>
      </c>
      <c r="E25" s="1">
        <v>52</v>
      </c>
      <c r="F25" s="3">
        <v>17034784</v>
      </c>
      <c r="G25" s="3">
        <f t="shared" si="0"/>
        <v>8500000</v>
      </c>
      <c r="H25" s="1">
        <v>5</v>
      </c>
    </row>
    <row r="26" spans="1:8" hidden="1" x14ac:dyDescent="0.3">
      <c r="A26" s="1" t="s">
        <v>164</v>
      </c>
      <c r="B26" s="1" t="s">
        <v>52</v>
      </c>
      <c r="C26" s="1" t="s">
        <v>84</v>
      </c>
      <c r="D26" s="1" t="s">
        <v>99</v>
      </c>
      <c r="E26" s="1">
        <v>6</v>
      </c>
      <c r="F26" s="3">
        <v>1965552</v>
      </c>
      <c r="G26" s="3">
        <f t="shared" si="0"/>
        <v>1000000</v>
      </c>
      <c r="H26" s="1">
        <v>3</v>
      </c>
    </row>
    <row r="27" spans="1:8" hidden="1" x14ac:dyDescent="0.3">
      <c r="A27" s="1" t="s">
        <v>165</v>
      </c>
      <c r="B27" s="1" t="s">
        <v>54</v>
      </c>
      <c r="C27" s="1" t="s">
        <v>96</v>
      </c>
      <c r="D27" s="1" t="s">
        <v>105</v>
      </c>
      <c r="E27" s="1">
        <v>10</v>
      </c>
      <c r="F27" s="3">
        <v>3275920</v>
      </c>
      <c r="G27" s="3">
        <f t="shared" si="0"/>
        <v>1600000</v>
      </c>
      <c r="H27" s="1">
        <v>2</v>
      </c>
    </row>
  </sheetData>
  <autoFilter ref="A2:H27" xr:uid="{00000000-0009-0000-0000-000004000000}">
    <filterColumn colId="2">
      <customFilters>
        <customFilter val="7*"/>
      </customFilters>
    </filterColumn>
  </autoFilter>
  <phoneticPr fontId="2" type="noConversion"/>
  <dataValidations count="1">
    <dataValidation type="custom" allowBlank="1" showInputMessage="1" showErrorMessage="1" errorTitle="입력오류" error="[입력형식] 000000-0000000 _x000a_하이픈 포함하여 입력하세요" promptTitle="입력형식" prompt="000000-0000000" sqref="C3:C27" xr:uid="{00000000-0002-0000-0400-000000000000}">
      <formula1>AND(LEN(C3)=14, FIND("-", C3)=7)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8"/>
  <sheetViews>
    <sheetView zoomScale="120" zoomScaleNormal="120" workbookViewId="0">
      <selection activeCell="N26" sqref="N26"/>
    </sheetView>
  </sheetViews>
  <sheetFormatPr defaultRowHeight="16.5" x14ac:dyDescent="0.3"/>
  <cols>
    <col min="1" max="1" width="4" customWidth="1"/>
    <col min="2" max="2" width="12.375" bestFit="1" customWidth="1"/>
    <col min="3" max="3" width="11.875" bestFit="1" customWidth="1"/>
    <col min="4" max="4" width="11.25" customWidth="1"/>
    <col min="5" max="5" width="13.875" customWidth="1"/>
  </cols>
  <sheetData>
    <row r="2" spans="2:5" x14ac:dyDescent="0.3">
      <c r="B2" t="s">
        <v>66</v>
      </c>
    </row>
    <row r="3" spans="2:5" x14ac:dyDescent="0.3">
      <c r="B3" s="1" t="s">
        <v>67</v>
      </c>
      <c r="C3" s="1" t="s">
        <v>68</v>
      </c>
      <c r="D3" s="1" t="s">
        <v>69</v>
      </c>
      <c r="E3" s="1" t="s">
        <v>70</v>
      </c>
    </row>
    <row r="4" spans="2:5" x14ac:dyDescent="0.3">
      <c r="B4" s="1" t="s">
        <v>182</v>
      </c>
      <c r="C4" s="8">
        <v>28500000</v>
      </c>
      <c r="D4" s="9">
        <v>7</v>
      </c>
      <c r="E4" s="8">
        <v>625000</v>
      </c>
    </row>
    <row r="5" spans="2:5" x14ac:dyDescent="0.3">
      <c r="B5" s="1" t="s">
        <v>181</v>
      </c>
      <c r="C5" s="8">
        <v>34000000</v>
      </c>
      <c r="D5" s="9">
        <v>12</v>
      </c>
      <c r="E5" s="8">
        <v>1667000</v>
      </c>
    </row>
    <row r="6" spans="2:5" x14ac:dyDescent="0.3">
      <c r="B6" s="1" t="s">
        <v>183</v>
      </c>
      <c r="C6" s="8">
        <v>10000000</v>
      </c>
      <c r="D6" s="9">
        <v>3</v>
      </c>
      <c r="E6" s="8">
        <v>278000</v>
      </c>
    </row>
    <row r="7" spans="2:5" x14ac:dyDescent="0.3">
      <c r="B7" s="1" t="s">
        <v>184</v>
      </c>
      <c r="C7" s="8">
        <v>45000000</v>
      </c>
      <c r="D7" s="9">
        <v>11</v>
      </c>
      <c r="E7" s="8">
        <v>3930000</v>
      </c>
    </row>
    <row r="8" spans="2:5" x14ac:dyDescent="0.3">
      <c r="B8" s="1" t="s">
        <v>185</v>
      </c>
      <c r="C8" s="8">
        <v>64000000</v>
      </c>
      <c r="D8" s="9">
        <v>21</v>
      </c>
      <c r="E8" s="8">
        <v>1861000</v>
      </c>
    </row>
  </sheetData>
  <dataConsolidate topLabels="1">
    <dataRefs count="1">
      <dataRef ref="A2:F27" sheet="기타작업-1" r:id="rId1"/>
    </dataRefs>
  </dataConsolidate>
  <phoneticPr fontId="2" type="noConversion"/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30"/>
  <sheetViews>
    <sheetView zoomScale="90" zoomScaleNormal="90" workbookViewId="0">
      <selection activeCell="J34" sqref="J34"/>
    </sheetView>
  </sheetViews>
  <sheetFormatPr defaultRowHeight="16.5" x14ac:dyDescent="0.3"/>
  <cols>
    <col min="2" max="2" width="7.375" bestFit="1" customWidth="1"/>
    <col min="3" max="3" width="16.25" bestFit="1" customWidth="1"/>
    <col min="4" max="4" width="7.75" customWidth="1"/>
    <col min="6" max="7" width="15.25" bestFit="1" customWidth="1"/>
  </cols>
  <sheetData>
    <row r="1" spans="1:8" x14ac:dyDescent="0.3">
      <c r="A1" t="s">
        <v>0</v>
      </c>
    </row>
    <row r="5" spans="1:8" x14ac:dyDescent="0.3">
      <c r="A5" s="1" t="s">
        <v>140</v>
      </c>
      <c r="B5" s="1" t="s">
        <v>115</v>
      </c>
      <c r="C5" s="1" t="s">
        <v>2</v>
      </c>
      <c r="D5" s="1" t="s">
        <v>97</v>
      </c>
      <c r="E5" s="1" t="s">
        <v>4</v>
      </c>
      <c r="F5" s="1" t="s">
        <v>5</v>
      </c>
      <c r="G5" s="1" t="s">
        <v>6</v>
      </c>
      <c r="H5" s="1" t="s">
        <v>7</v>
      </c>
    </row>
    <row r="6" spans="1:8" x14ac:dyDescent="0.3">
      <c r="A6" s="1" t="s">
        <v>141</v>
      </c>
      <c r="B6" s="1" t="s">
        <v>9</v>
      </c>
      <c r="C6" s="1" t="s">
        <v>77</v>
      </c>
      <c r="D6" s="1" t="s">
        <v>105</v>
      </c>
      <c r="E6" s="1">
        <v>25</v>
      </c>
      <c r="F6" s="27">
        <v>8189800</v>
      </c>
      <c r="G6" s="27">
        <v>0</v>
      </c>
      <c r="H6" s="1">
        <v>0</v>
      </c>
    </row>
    <row r="7" spans="1:8" x14ac:dyDescent="0.3">
      <c r="A7" s="1" t="s">
        <v>142</v>
      </c>
      <c r="B7" s="1" t="s">
        <v>13</v>
      </c>
      <c r="C7" s="1" t="s">
        <v>85</v>
      </c>
      <c r="D7" s="1" t="s">
        <v>98</v>
      </c>
      <c r="E7" s="1">
        <v>30</v>
      </c>
      <c r="F7" s="27">
        <v>9827760</v>
      </c>
      <c r="G7" s="27">
        <f t="shared" ref="G7:G30" si="0">ROUND(F7/2,-5)</f>
        <v>4900000</v>
      </c>
      <c r="H7" s="1">
        <v>3</v>
      </c>
    </row>
    <row r="8" spans="1:8" x14ac:dyDescent="0.3">
      <c r="A8" s="1" t="s">
        <v>143</v>
      </c>
      <c r="B8" s="1" t="s">
        <v>15</v>
      </c>
      <c r="C8" s="1" t="s">
        <v>86</v>
      </c>
      <c r="D8" s="1" t="s">
        <v>99</v>
      </c>
      <c r="E8" s="1">
        <v>52</v>
      </c>
      <c r="F8" s="27">
        <v>17034784</v>
      </c>
      <c r="G8" s="27">
        <f t="shared" si="0"/>
        <v>8500000</v>
      </c>
      <c r="H8" s="1">
        <v>5</v>
      </c>
    </row>
    <row r="9" spans="1:8" x14ac:dyDescent="0.3">
      <c r="A9" s="1" t="s">
        <v>144</v>
      </c>
      <c r="B9" s="1" t="s">
        <v>17</v>
      </c>
      <c r="C9" s="1" t="s">
        <v>87</v>
      </c>
      <c r="D9" s="1" t="s">
        <v>98</v>
      </c>
      <c r="E9" s="1">
        <v>28</v>
      </c>
      <c r="F9" s="27">
        <v>9172576</v>
      </c>
      <c r="G9" s="27">
        <f t="shared" si="0"/>
        <v>4600000</v>
      </c>
      <c r="H9" s="1">
        <v>4</v>
      </c>
    </row>
    <row r="10" spans="1:8" x14ac:dyDescent="0.3">
      <c r="A10" s="1" t="s">
        <v>145</v>
      </c>
      <c r="B10" s="1" t="s">
        <v>19</v>
      </c>
      <c r="C10" s="1" t="s">
        <v>20</v>
      </c>
      <c r="D10" s="1" t="s">
        <v>98</v>
      </c>
      <c r="E10" s="1">
        <v>10</v>
      </c>
      <c r="F10" s="27">
        <v>3275920</v>
      </c>
      <c r="G10" s="27">
        <f t="shared" si="0"/>
        <v>1600000</v>
      </c>
      <c r="H10" s="1">
        <v>3</v>
      </c>
    </row>
    <row r="11" spans="1:8" x14ac:dyDescent="0.3">
      <c r="A11" s="1" t="s">
        <v>146</v>
      </c>
      <c r="B11" s="1" t="s">
        <v>23</v>
      </c>
      <c r="C11" s="1" t="s">
        <v>88</v>
      </c>
      <c r="D11" s="1" t="s">
        <v>98</v>
      </c>
      <c r="E11" s="1">
        <v>5</v>
      </c>
      <c r="F11" s="27">
        <v>1637960</v>
      </c>
      <c r="G11" s="27">
        <v>0</v>
      </c>
      <c r="H11" s="1">
        <v>0</v>
      </c>
    </row>
    <row r="12" spans="1:8" x14ac:dyDescent="0.3">
      <c r="A12" s="1" t="s">
        <v>147</v>
      </c>
      <c r="B12" s="1" t="s">
        <v>25</v>
      </c>
      <c r="C12" s="1" t="s">
        <v>78</v>
      </c>
      <c r="D12" s="1" t="s">
        <v>101</v>
      </c>
      <c r="E12" s="1">
        <v>40</v>
      </c>
      <c r="F12" s="27">
        <v>13103680</v>
      </c>
      <c r="G12" s="27">
        <f t="shared" si="0"/>
        <v>6600000</v>
      </c>
      <c r="H12" s="1">
        <v>3</v>
      </c>
    </row>
    <row r="13" spans="1:8" x14ac:dyDescent="0.3">
      <c r="A13" s="1" t="s">
        <v>148</v>
      </c>
      <c r="B13" s="1" t="s">
        <v>26</v>
      </c>
      <c r="C13" s="1" t="s">
        <v>27</v>
      </c>
      <c r="D13" s="1" t="s">
        <v>102</v>
      </c>
      <c r="E13" s="1">
        <v>60</v>
      </c>
      <c r="F13" s="27">
        <v>19655520</v>
      </c>
      <c r="G13" s="27">
        <f t="shared" si="0"/>
        <v>9800000</v>
      </c>
      <c r="H13" s="1">
        <v>5</v>
      </c>
    </row>
    <row r="14" spans="1:8" x14ac:dyDescent="0.3">
      <c r="A14" s="1" t="s">
        <v>149</v>
      </c>
      <c r="B14" s="1" t="s">
        <v>28</v>
      </c>
      <c r="C14" s="1" t="s">
        <v>89</v>
      </c>
      <c r="D14" s="1" t="s">
        <v>102</v>
      </c>
      <c r="E14" s="1">
        <v>22</v>
      </c>
      <c r="F14" s="27">
        <v>7207024</v>
      </c>
      <c r="G14" s="27">
        <v>0</v>
      </c>
      <c r="H14" s="1">
        <v>0</v>
      </c>
    </row>
    <row r="15" spans="1:8" x14ac:dyDescent="0.3">
      <c r="A15" s="1" t="s">
        <v>150</v>
      </c>
      <c r="B15" s="1" t="s">
        <v>30</v>
      </c>
      <c r="C15" s="1" t="s">
        <v>90</v>
      </c>
      <c r="D15" s="1" t="s">
        <v>99</v>
      </c>
      <c r="E15" s="1">
        <v>38</v>
      </c>
      <c r="F15" s="27">
        <v>12448496</v>
      </c>
      <c r="G15" s="27">
        <f t="shared" si="0"/>
        <v>6200000</v>
      </c>
      <c r="H15" s="1">
        <v>4</v>
      </c>
    </row>
    <row r="16" spans="1:8" x14ac:dyDescent="0.3">
      <c r="A16" s="1" t="s">
        <v>151</v>
      </c>
      <c r="B16" s="1" t="s">
        <v>31</v>
      </c>
      <c r="C16" s="1" t="s">
        <v>79</v>
      </c>
      <c r="D16" s="1" t="s">
        <v>98</v>
      </c>
      <c r="E16" s="1">
        <v>46</v>
      </c>
      <c r="F16" s="27">
        <v>15069232</v>
      </c>
      <c r="G16" s="27">
        <f t="shared" si="0"/>
        <v>7500000</v>
      </c>
      <c r="H16" s="1">
        <v>6</v>
      </c>
    </row>
    <row r="17" spans="1:8" x14ac:dyDescent="0.3">
      <c r="A17" s="1" t="s">
        <v>152</v>
      </c>
      <c r="B17" s="1" t="s">
        <v>32</v>
      </c>
      <c r="C17" s="1" t="s">
        <v>33</v>
      </c>
      <c r="D17" s="1" t="s">
        <v>105</v>
      </c>
      <c r="E17" s="1">
        <v>29</v>
      </c>
      <c r="F17" s="27">
        <v>9500168</v>
      </c>
      <c r="G17" s="27">
        <v>0</v>
      </c>
      <c r="H17" s="1">
        <v>0</v>
      </c>
    </row>
    <row r="18" spans="1:8" x14ac:dyDescent="0.3">
      <c r="A18" s="1" t="s">
        <v>153</v>
      </c>
      <c r="B18" s="1" t="s">
        <v>34</v>
      </c>
      <c r="C18" s="1" t="s">
        <v>80</v>
      </c>
      <c r="D18" s="1" t="s">
        <v>105</v>
      </c>
      <c r="E18" s="1">
        <v>28</v>
      </c>
      <c r="F18" s="27">
        <v>9172576</v>
      </c>
      <c r="G18" s="27">
        <f t="shared" si="0"/>
        <v>4600000</v>
      </c>
      <c r="H18" s="1">
        <v>3</v>
      </c>
    </row>
    <row r="19" spans="1:8" x14ac:dyDescent="0.3">
      <c r="A19" s="1" t="s">
        <v>154</v>
      </c>
      <c r="B19" s="1" t="s">
        <v>36</v>
      </c>
      <c r="C19" s="1" t="s">
        <v>91</v>
      </c>
      <c r="D19" s="1" t="s">
        <v>101</v>
      </c>
      <c r="E19" s="1">
        <v>48</v>
      </c>
      <c r="F19" s="27">
        <v>15724416</v>
      </c>
      <c r="G19" s="27">
        <f t="shared" si="0"/>
        <v>7900000</v>
      </c>
      <c r="H19" s="1">
        <v>2</v>
      </c>
    </row>
    <row r="20" spans="1:8" x14ac:dyDescent="0.3">
      <c r="A20" s="1" t="s">
        <v>155</v>
      </c>
      <c r="B20" s="1" t="s">
        <v>38</v>
      </c>
      <c r="C20" s="1" t="s">
        <v>92</v>
      </c>
      <c r="D20" s="1" t="s">
        <v>105</v>
      </c>
      <c r="E20" s="1">
        <v>37</v>
      </c>
      <c r="F20" s="27">
        <v>12120904</v>
      </c>
      <c r="G20" s="27">
        <f t="shared" si="0"/>
        <v>6100000</v>
      </c>
      <c r="H20" s="1">
        <v>8</v>
      </c>
    </row>
    <row r="21" spans="1:8" x14ac:dyDescent="0.3">
      <c r="A21" s="1" t="s">
        <v>156</v>
      </c>
      <c r="B21" s="1" t="s">
        <v>39</v>
      </c>
      <c r="C21" s="1" t="s">
        <v>40</v>
      </c>
      <c r="D21" s="1" t="s">
        <v>99</v>
      </c>
      <c r="E21" s="1">
        <v>10</v>
      </c>
      <c r="F21" s="27">
        <v>3275920</v>
      </c>
      <c r="G21" s="27">
        <v>0</v>
      </c>
      <c r="H21" s="1">
        <v>0</v>
      </c>
    </row>
    <row r="22" spans="1:8" x14ac:dyDescent="0.3">
      <c r="A22" s="1" t="s">
        <v>157</v>
      </c>
      <c r="B22" s="1" t="s">
        <v>41</v>
      </c>
      <c r="C22" s="1" t="s">
        <v>81</v>
      </c>
      <c r="D22" s="1" t="s">
        <v>98</v>
      </c>
      <c r="E22" s="1">
        <v>4</v>
      </c>
      <c r="F22" s="27">
        <v>1310368</v>
      </c>
      <c r="G22" s="27">
        <v>0</v>
      </c>
      <c r="H22" s="1">
        <v>0</v>
      </c>
    </row>
    <row r="23" spans="1:8" x14ac:dyDescent="0.3">
      <c r="A23" s="1" t="s">
        <v>158</v>
      </c>
      <c r="B23" s="1" t="s">
        <v>42</v>
      </c>
      <c r="C23" s="1" t="s">
        <v>93</v>
      </c>
      <c r="D23" s="1" t="s">
        <v>98</v>
      </c>
      <c r="E23" s="1">
        <v>11</v>
      </c>
      <c r="F23" s="27">
        <v>3603512</v>
      </c>
      <c r="G23" s="27">
        <f t="shared" si="0"/>
        <v>1800000</v>
      </c>
      <c r="H23" s="1">
        <v>2</v>
      </c>
    </row>
    <row r="24" spans="1:8" x14ac:dyDescent="0.3">
      <c r="A24" s="1" t="s">
        <v>159</v>
      </c>
      <c r="B24" s="1" t="s">
        <v>43</v>
      </c>
      <c r="C24" s="1" t="s">
        <v>82</v>
      </c>
      <c r="D24" s="1" t="s">
        <v>99</v>
      </c>
      <c r="E24" s="1">
        <v>15</v>
      </c>
      <c r="F24" s="27">
        <v>4913880</v>
      </c>
      <c r="G24" s="27">
        <f t="shared" si="0"/>
        <v>2500000</v>
      </c>
      <c r="H24" s="1">
        <v>4</v>
      </c>
    </row>
    <row r="25" spans="1:8" x14ac:dyDescent="0.3">
      <c r="A25" s="1" t="s">
        <v>160</v>
      </c>
      <c r="B25" s="1" t="s">
        <v>45</v>
      </c>
      <c r="C25" s="1" t="s">
        <v>83</v>
      </c>
      <c r="D25" s="1" t="s">
        <v>98</v>
      </c>
      <c r="E25" s="1">
        <v>19</v>
      </c>
      <c r="F25" s="27">
        <v>6224248</v>
      </c>
      <c r="G25" s="27">
        <f t="shared" si="0"/>
        <v>3100000</v>
      </c>
      <c r="H25" s="1">
        <v>3</v>
      </c>
    </row>
    <row r="26" spans="1:8" x14ac:dyDescent="0.3">
      <c r="A26" s="1" t="s">
        <v>161</v>
      </c>
      <c r="B26" s="1" t="s">
        <v>46</v>
      </c>
      <c r="C26" s="1" t="s">
        <v>94</v>
      </c>
      <c r="D26" s="1" t="s">
        <v>99</v>
      </c>
      <c r="E26" s="1">
        <v>39</v>
      </c>
      <c r="F26" s="27">
        <v>12776088</v>
      </c>
      <c r="G26" s="27">
        <f t="shared" si="0"/>
        <v>6400000</v>
      </c>
      <c r="H26" s="1">
        <v>2</v>
      </c>
    </row>
    <row r="27" spans="1:8" x14ac:dyDescent="0.3">
      <c r="A27" s="1" t="s">
        <v>162</v>
      </c>
      <c r="B27" s="1" t="s">
        <v>48</v>
      </c>
      <c r="C27" s="1" t="s">
        <v>95</v>
      </c>
      <c r="D27" s="1" t="s">
        <v>98</v>
      </c>
      <c r="E27" s="1">
        <v>48</v>
      </c>
      <c r="F27" s="27">
        <v>15724416</v>
      </c>
      <c r="G27" s="27">
        <f t="shared" si="0"/>
        <v>7900000</v>
      </c>
      <c r="H27" s="1">
        <v>1</v>
      </c>
    </row>
    <row r="28" spans="1:8" x14ac:dyDescent="0.3">
      <c r="A28" s="1" t="s">
        <v>163</v>
      </c>
      <c r="B28" s="1" t="s">
        <v>50</v>
      </c>
      <c r="C28" s="1" t="s">
        <v>51</v>
      </c>
      <c r="D28" s="1" t="s">
        <v>105</v>
      </c>
      <c r="E28" s="1">
        <v>52</v>
      </c>
      <c r="F28" s="27">
        <v>17034784</v>
      </c>
      <c r="G28" s="27">
        <f t="shared" si="0"/>
        <v>8500000</v>
      </c>
      <c r="H28" s="1">
        <v>5</v>
      </c>
    </row>
    <row r="29" spans="1:8" x14ac:dyDescent="0.3">
      <c r="A29" s="1" t="s">
        <v>164</v>
      </c>
      <c r="B29" s="1" t="s">
        <v>52</v>
      </c>
      <c r="C29" s="1" t="s">
        <v>84</v>
      </c>
      <c r="D29" s="1" t="s">
        <v>99</v>
      </c>
      <c r="E29" s="1">
        <v>6</v>
      </c>
      <c r="F29" s="27">
        <v>1965552</v>
      </c>
      <c r="G29" s="27">
        <f t="shared" si="0"/>
        <v>1000000</v>
      </c>
      <c r="H29" s="1">
        <v>3</v>
      </c>
    </row>
    <row r="30" spans="1:8" x14ac:dyDescent="0.3">
      <c r="A30" s="1" t="s">
        <v>165</v>
      </c>
      <c r="B30" s="1" t="s">
        <v>54</v>
      </c>
      <c r="C30" s="1" t="s">
        <v>96</v>
      </c>
      <c r="D30" s="1" t="s">
        <v>105</v>
      </c>
      <c r="E30" s="1">
        <v>10</v>
      </c>
      <c r="F30" s="27">
        <v>3275920</v>
      </c>
      <c r="G30" s="27">
        <f t="shared" si="0"/>
        <v>1600000</v>
      </c>
      <c r="H30" s="1">
        <v>2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반복서식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반복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J31"/>
  <sheetViews>
    <sheetView workbookViewId="0">
      <selection activeCell="H30" sqref="H30"/>
    </sheetView>
  </sheetViews>
  <sheetFormatPr defaultRowHeight="16.5" x14ac:dyDescent="0.3"/>
  <cols>
    <col min="1" max="1" width="5.625" customWidth="1"/>
    <col min="3" max="4" width="12" customWidth="1"/>
    <col min="5" max="5" width="13.5" bestFit="1" customWidth="1"/>
    <col min="6" max="6" width="12.375" customWidth="1"/>
    <col min="7" max="7" width="12" customWidth="1"/>
    <col min="8" max="8" width="16.25" customWidth="1"/>
    <col min="9" max="10" width="9.375" customWidth="1"/>
  </cols>
  <sheetData>
    <row r="3" spans="2:10" x14ac:dyDescent="0.3">
      <c r="B3" t="s">
        <v>71</v>
      </c>
    </row>
    <row r="4" spans="2:10" x14ac:dyDescent="0.3">
      <c r="B4" s="1" t="s">
        <v>220</v>
      </c>
      <c r="C4" s="1" t="s">
        <v>221</v>
      </c>
      <c r="D4" s="1" t="s">
        <v>222</v>
      </c>
      <c r="E4" s="1" t="s">
        <v>72</v>
      </c>
      <c r="F4" s="1" t="s">
        <v>73</v>
      </c>
      <c r="G4" s="1" t="s">
        <v>74</v>
      </c>
      <c r="H4" s="1" t="s">
        <v>75</v>
      </c>
      <c r="J4" s="25" t="s">
        <v>76</v>
      </c>
    </row>
    <row r="5" spans="2:10" x14ac:dyDescent="0.3">
      <c r="B5" s="1" t="s">
        <v>224</v>
      </c>
      <c r="C5" s="2" t="s">
        <v>11</v>
      </c>
      <c r="D5" s="1" t="s">
        <v>225</v>
      </c>
      <c r="E5" s="10">
        <v>3000000</v>
      </c>
      <c r="F5" s="1" t="s">
        <v>226</v>
      </c>
      <c r="G5" s="11">
        <v>5.2999999999999999E-2</v>
      </c>
      <c r="H5" s="12">
        <v>13250</v>
      </c>
      <c r="J5" s="1" t="s">
        <v>182</v>
      </c>
    </row>
    <row r="6" spans="2:10" x14ac:dyDescent="0.3">
      <c r="B6" s="1"/>
      <c r="C6" s="2"/>
      <c r="D6" s="2"/>
      <c r="E6" s="13"/>
      <c r="F6" s="1"/>
      <c r="G6" s="11"/>
      <c r="H6" s="12"/>
      <c r="J6" s="1" t="s">
        <v>181</v>
      </c>
    </row>
    <row r="7" spans="2:10" x14ac:dyDescent="0.3">
      <c r="B7" s="1"/>
      <c r="C7" s="2"/>
      <c r="D7" s="2"/>
      <c r="E7" s="14"/>
      <c r="F7" s="1"/>
      <c r="G7" s="7"/>
      <c r="H7" s="12"/>
      <c r="J7" s="1" t="s">
        <v>183</v>
      </c>
    </row>
    <row r="8" spans="2:10" x14ac:dyDescent="0.3">
      <c r="B8" s="1"/>
      <c r="C8" s="2"/>
      <c r="D8" s="2"/>
      <c r="E8" s="14"/>
      <c r="F8" s="1"/>
      <c r="G8" s="7"/>
      <c r="H8" s="12"/>
      <c r="J8" s="1" t="s">
        <v>184</v>
      </c>
    </row>
    <row r="9" spans="2:10" x14ac:dyDescent="0.3">
      <c r="B9" s="1"/>
      <c r="C9" s="2"/>
      <c r="D9" s="2"/>
      <c r="E9" s="15"/>
      <c r="F9" s="1"/>
      <c r="G9" s="11"/>
      <c r="H9" s="9"/>
      <c r="J9" s="1" t="s">
        <v>185</v>
      </c>
    </row>
    <row r="10" spans="2:10" x14ac:dyDescent="0.3">
      <c r="B10" s="1"/>
      <c r="C10" s="2"/>
      <c r="D10" s="2"/>
      <c r="E10" s="14"/>
      <c r="F10" s="1"/>
      <c r="G10" s="7"/>
      <c r="H10" s="9"/>
      <c r="J10" s="1" t="s">
        <v>219</v>
      </c>
    </row>
    <row r="11" spans="2:10" x14ac:dyDescent="0.3">
      <c r="B11" s="1"/>
      <c r="C11" s="2"/>
      <c r="D11" s="2"/>
      <c r="E11" s="14"/>
      <c r="F11" s="1"/>
      <c r="G11" s="7"/>
      <c r="H11" s="9"/>
    </row>
    <row r="12" spans="2:10" x14ac:dyDescent="0.3">
      <c r="B12" s="1"/>
      <c r="C12" s="2"/>
      <c r="D12" s="2"/>
      <c r="E12" s="14"/>
      <c r="F12" s="1"/>
      <c r="G12" s="7"/>
      <c r="H12" s="9"/>
    </row>
    <row r="13" spans="2:10" x14ac:dyDescent="0.3">
      <c r="B13" s="1"/>
      <c r="C13" s="2"/>
      <c r="D13" s="2"/>
      <c r="E13" s="14"/>
      <c r="F13" s="1"/>
      <c r="G13" s="7"/>
      <c r="H13" s="9"/>
    </row>
    <row r="14" spans="2:10" x14ac:dyDescent="0.3">
      <c r="B14" s="1"/>
      <c r="C14" s="2"/>
      <c r="D14" s="2"/>
      <c r="E14" s="14"/>
      <c r="F14" s="1"/>
      <c r="G14" s="7"/>
      <c r="H14" s="9"/>
    </row>
    <row r="15" spans="2:10" x14ac:dyDescent="0.3">
      <c r="B15" s="1"/>
      <c r="C15" s="2"/>
      <c r="D15" s="2"/>
      <c r="E15" s="14"/>
      <c r="F15" s="1"/>
      <c r="G15" s="7"/>
      <c r="H15" s="9"/>
    </row>
    <row r="16" spans="2:10" x14ac:dyDescent="0.3">
      <c r="B16" s="1"/>
      <c r="C16" s="2"/>
      <c r="D16" s="2"/>
      <c r="E16" s="14"/>
      <c r="F16" s="1"/>
      <c r="G16" s="7"/>
      <c r="H16" s="9"/>
    </row>
    <row r="17" spans="2:8" x14ac:dyDescent="0.3">
      <c r="B17" s="1"/>
      <c r="C17" s="2"/>
      <c r="D17" s="2"/>
      <c r="E17" s="14"/>
      <c r="F17" s="1"/>
      <c r="G17" s="7"/>
      <c r="H17" s="9"/>
    </row>
    <row r="18" spans="2:8" x14ac:dyDescent="0.3">
      <c r="B18" s="1"/>
      <c r="C18" s="2"/>
      <c r="D18" s="2"/>
      <c r="E18" s="14"/>
      <c r="F18" s="1"/>
      <c r="G18" s="7"/>
      <c r="H18" s="9"/>
    </row>
    <row r="19" spans="2:8" x14ac:dyDescent="0.3">
      <c r="B19" s="1"/>
      <c r="C19" s="2"/>
      <c r="D19" s="2"/>
      <c r="E19" s="15"/>
      <c r="F19" s="1"/>
      <c r="G19" s="7"/>
      <c r="H19" s="9"/>
    </row>
    <row r="20" spans="2:8" x14ac:dyDescent="0.3">
      <c r="B20" s="1"/>
      <c r="C20" s="2"/>
      <c r="D20" s="2"/>
      <c r="E20" s="15"/>
      <c r="F20" s="1"/>
      <c r="G20" s="7"/>
      <c r="H20" s="9"/>
    </row>
    <row r="21" spans="2:8" x14ac:dyDescent="0.3">
      <c r="B21" s="1"/>
      <c r="C21" s="2"/>
      <c r="D21" s="2"/>
      <c r="E21" s="14"/>
      <c r="F21" s="1"/>
      <c r="G21" s="7"/>
      <c r="H21" s="9"/>
    </row>
    <row r="22" spans="2:8" x14ac:dyDescent="0.3">
      <c r="B22" s="1"/>
      <c r="C22" s="2"/>
      <c r="D22" s="2"/>
      <c r="E22" s="14"/>
      <c r="F22" s="1"/>
      <c r="G22" s="7"/>
      <c r="H22" s="9"/>
    </row>
    <row r="23" spans="2:8" x14ac:dyDescent="0.3">
      <c r="B23" s="1"/>
      <c r="C23" s="2"/>
      <c r="D23" s="2"/>
      <c r="E23" s="14"/>
      <c r="F23" s="1"/>
      <c r="G23" s="7"/>
      <c r="H23" s="9"/>
    </row>
    <row r="24" spans="2:8" x14ac:dyDescent="0.3">
      <c r="B24" s="1"/>
      <c r="C24" s="2"/>
      <c r="D24" s="2"/>
      <c r="E24" s="14"/>
      <c r="F24" s="1"/>
      <c r="G24" s="7"/>
      <c r="H24" s="9"/>
    </row>
    <row r="25" spans="2:8" x14ac:dyDescent="0.3">
      <c r="B25" s="1"/>
      <c r="C25" s="2"/>
      <c r="D25" s="2"/>
      <c r="E25" s="14"/>
      <c r="F25" s="1"/>
      <c r="G25" s="7"/>
      <c r="H25" s="9"/>
    </row>
    <row r="26" spans="2:8" x14ac:dyDescent="0.3">
      <c r="B26" s="1"/>
      <c r="C26" s="2"/>
      <c r="D26" s="2"/>
      <c r="E26" s="14"/>
      <c r="F26" s="1"/>
      <c r="G26" s="7"/>
      <c r="H26" s="9"/>
    </row>
    <row r="27" spans="2:8" x14ac:dyDescent="0.3">
      <c r="B27" s="1"/>
      <c r="C27" s="2"/>
      <c r="D27" s="2"/>
      <c r="E27" s="14"/>
      <c r="F27" s="1"/>
      <c r="G27" s="7"/>
      <c r="H27" s="9"/>
    </row>
    <row r="28" spans="2:8" x14ac:dyDescent="0.3">
      <c r="B28" s="1"/>
      <c r="C28" s="2"/>
      <c r="D28" s="2"/>
      <c r="E28" s="14"/>
      <c r="F28" s="1"/>
      <c r="G28" s="7"/>
      <c r="H28" s="9"/>
    </row>
    <row r="29" spans="2:8" x14ac:dyDescent="0.3">
      <c r="B29" s="1"/>
      <c r="C29" s="2"/>
      <c r="D29" s="2"/>
      <c r="E29" s="14"/>
      <c r="F29" s="1"/>
      <c r="G29" s="7"/>
      <c r="H29" s="9"/>
    </row>
    <row r="30" spans="2:8" x14ac:dyDescent="0.3">
      <c r="E30" s="16"/>
    </row>
    <row r="31" spans="2:8" x14ac:dyDescent="0.3">
      <c r="E31" s="17"/>
    </row>
  </sheetData>
  <phoneticPr fontId="2" type="noConversion"/>
  <conditionalFormatting sqref="J5:J10 B5:G29">
    <cfRule type="expression" dxfId="0" priority="1">
      <formula>AND(OR(#REF!="동부",#REF!="서부"),#REF!&gt;=AVERAGE(#REF!))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md대출등록">
          <controlPr defaultSize="0" autoLine="0" autoPict="0" r:id="rId5">
            <anchor moveWithCells="1">
              <from>
                <xdr:col>6</xdr:col>
                <xdr:colOff>0</xdr:colOff>
                <xdr:row>0</xdr:row>
                <xdr:rowOff>57150</xdr:rowOff>
              </from>
              <to>
                <xdr:col>8</xdr:col>
                <xdr:colOff>19050</xdr:colOff>
                <xdr:row>2</xdr:row>
                <xdr:rowOff>57150</xdr:rowOff>
              </to>
            </anchor>
          </controlPr>
        </control>
      </mc:Choice>
      <mc:Fallback>
        <control shapeId="7169" r:id="rId4" name="cmd대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컨버전스 디지털</cp:lastModifiedBy>
  <cp:lastPrinted>2020-08-30T06:28:21Z</cp:lastPrinted>
  <dcterms:created xsi:type="dcterms:W3CDTF">2020-04-06T02:20:52Z</dcterms:created>
  <dcterms:modified xsi:type="dcterms:W3CDTF">2024-03-13T04:58:56Z</dcterms:modified>
</cp:coreProperties>
</file>