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E3F13EA8-0420-4A22-BEDC-24E951999B11}" xr6:coauthVersionLast="47" xr6:coauthVersionMax="47" xr10:uidLastSave="{00000000-0000-0000-0000-000000000000}"/>
  <bookViews>
    <workbookView xWindow="1500" yWindow="510" windowWidth="23325" windowHeight="14685" tabRatio="788" activeTab="7" xr2:uid="{00000000-000D-0000-FFFF-FFFF00000000}"/>
  </bookViews>
  <sheets>
    <sheet name="기본작업-1" sheetId="12" r:id="rId1"/>
    <sheet name="기본작업-2" sheetId="9" r:id="rId2"/>
    <sheet name="계산작업" sheetId="8" r:id="rId3"/>
    <sheet name="분석작업-1" sheetId="4" r:id="rId4"/>
    <sheet name="분석작업-2" sheetId="7" r:id="rId5"/>
    <sheet name="기타작업-1" sheetId="10" r:id="rId6"/>
    <sheet name="기타작업-2" sheetId="13" r:id="rId7"/>
    <sheet name="기타작업-3" sheetId="11" r:id="rId8"/>
  </sheets>
  <functionGroups builtInGroupCount="19"/>
  <definedNames>
    <definedName name="_xlnm._FilterDatabase" localSheetId="2" hidden="1">계산작업!$B$3:$H$38</definedName>
    <definedName name="_xlnm._FilterDatabase" localSheetId="1" hidden="1">'기본작업-2'!$B$2:$J$28</definedName>
    <definedName name="_xlnm._FilterDatabase" localSheetId="4" hidden="1">'분석작업-2'!$B$2:$J$28</definedName>
    <definedName name="_xlnm.Criteria" localSheetId="1">'기본작업-2'!#REF!</definedName>
    <definedName name="_xlnm.Extract" localSheetId="1">'기본작업-2'!#REF!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8" l="1" a="1"/>
  <c r="H6" i="8" a="1"/>
  <c r="H8" i="8" a="1"/>
  <c r="H10" i="8" a="1"/>
  <c r="H12" i="8" a="1"/>
  <c r="H14" i="8" a="1"/>
  <c r="H16" i="8" a="1"/>
  <c r="H18" i="8" a="1"/>
  <c r="H20" i="8" a="1"/>
  <c r="H22" i="8" a="1"/>
  <c r="H24" i="8" a="1"/>
  <c r="H26" i="8" a="1"/>
  <c r="H28" i="8" a="1"/>
  <c r="H30" i="8" a="1"/>
  <c r="H32" i="8" a="1"/>
  <c r="H34" i="8" a="1"/>
  <c r="H36" i="8" a="1"/>
  <c r="H38" i="8" a="1"/>
  <c r="H5" i="8" a="1"/>
  <c r="H7" i="8" a="1"/>
  <c r="H9" i="8" a="1"/>
  <c r="H11" i="8" a="1"/>
  <c r="H13" i="8" a="1"/>
  <c r="H15" i="8" a="1"/>
  <c r="H19" i="8" a="1"/>
  <c r="H21" i="8" a="1"/>
  <c r="H23" i="8" a="1"/>
  <c r="H25" i="8" a="1"/>
  <c r="H27" i="8" a="1"/>
  <c r="H29" i="8" a="1"/>
  <c r="H31" i="8" a="1"/>
  <c r="H33" i="8" a="1"/>
  <c r="H35" i="8" a="1"/>
  <c r="H37" i="8" a="1"/>
  <c r="H4" i="8" a="1"/>
  <c r="H37" i="8" l="1"/>
  <c r="H35" i="8"/>
  <c r="H33" i="8"/>
  <c r="H31" i="8"/>
  <c r="H29" i="8"/>
  <c r="H27" i="8"/>
  <c r="H25" i="8"/>
  <c r="H23" i="8"/>
  <c r="H21" i="8"/>
  <c r="H19" i="8"/>
  <c r="H15" i="8"/>
  <c r="H13" i="8"/>
  <c r="H11" i="8"/>
  <c r="H9" i="8"/>
  <c r="H7" i="8"/>
  <c r="H5" i="8"/>
  <c r="H38" i="8"/>
  <c r="H36" i="8"/>
  <c r="H34" i="8"/>
  <c r="H32" i="8"/>
  <c r="H30" i="8"/>
  <c r="H28" i="8"/>
  <c r="H26" i="8"/>
  <c r="H24" i="8"/>
  <c r="H22" i="8"/>
  <c r="H20" i="8"/>
  <c r="H18" i="8"/>
  <c r="H16" i="8"/>
  <c r="H14" i="8"/>
  <c r="H12" i="8"/>
  <c r="H10" i="8"/>
  <c r="H8" i="8"/>
  <c r="H6" i="8"/>
  <c r="H17" i="8"/>
  <c r="H4" i="8"/>
  <c r="N22" i="8" l="1" a="1"/>
  <c r="N22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4" i="8"/>
  <c r="I24" i="13" l="1"/>
  <c r="H12" i="13"/>
  <c r="H11" i="13"/>
  <c r="H10" i="13"/>
  <c r="H9" i="13"/>
  <c r="H8" i="13"/>
  <c r="H7" i="13"/>
  <c r="H6" i="13"/>
  <c r="J21" i="7" l="1"/>
  <c r="I9" i="7"/>
  <c r="I8" i="7"/>
  <c r="I7" i="7"/>
  <c r="I6" i="7"/>
  <c r="I5" i="7"/>
  <c r="I4" i="7"/>
  <c r="I3" i="7"/>
  <c r="B31" i="12" l="1"/>
  <c r="J21" i="12"/>
  <c r="I9" i="12"/>
  <c r="I8" i="12"/>
  <c r="I7" i="12"/>
  <c r="I6" i="12"/>
  <c r="I5" i="12"/>
  <c r="I4" i="12"/>
  <c r="I3" i="12"/>
  <c r="M13" i="8" l="1" a="1"/>
  <c r="M13" i="8" s="1"/>
  <c r="N13" i="8" a="1"/>
  <c r="N13" i="8" s="1"/>
  <c r="O13" i="8" a="1"/>
  <c r="O13" i="8" s="1"/>
  <c r="M14" i="8" a="1"/>
  <c r="M14" i="8" s="1"/>
  <c r="N14" i="8" a="1"/>
  <c r="N14" i="8" s="1"/>
  <c r="O14" i="8" a="1"/>
  <c r="O14" i="8" s="1"/>
  <c r="M15" i="8" a="1"/>
  <c r="M15" i="8" s="1"/>
  <c r="N15" i="8" a="1"/>
  <c r="N15" i="8" s="1"/>
  <c r="O15" i="8" a="1"/>
  <c r="O15" i="8" s="1"/>
  <c r="M16" i="8" a="1"/>
  <c r="M16" i="8" s="1"/>
  <c r="N16" i="8" a="1"/>
  <c r="N16" i="8" s="1"/>
  <c r="O16" i="8" a="1"/>
  <c r="O16" i="8" s="1"/>
  <c r="M17" i="8" a="1"/>
  <c r="M17" i="8" s="1"/>
  <c r="N17" i="8" a="1"/>
  <c r="N17" i="8" s="1"/>
  <c r="O17" i="8" a="1"/>
  <c r="O17" i="8" s="1"/>
  <c r="M18" i="8" a="1"/>
  <c r="M18" i="8" s="1"/>
  <c r="N18" i="8" a="1"/>
  <c r="N18" i="8" s="1"/>
  <c r="O18" i="8" a="1"/>
  <c r="O18" i="8" s="1"/>
  <c r="L14" i="8" a="1"/>
  <c r="L14" i="8" s="1"/>
  <c r="L15" i="8" a="1"/>
  <c r="L15" i="8" s="1"/>
  <c r="L16" i="8" a="1"/>
  <c r="L16" i="8" s="1"/>
  <c r="L17" i="8" a="1"/>
  <c r="L17" i="8"/>
  <c r="L18" i="8" a="1"/>
  <c r="L18" i="8" s="1"/>
  <c r="L13" i="8" a="1"/>
  <c r="L13" i="8" s="1"/>
  <c r="G5" i="8" l="1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4" i="8"/>
  <c r="J10" i="9" l="1"/>
  <c r="I6" i="9"/>
  <c r="I5" i="9"/>
  <c r="I4" i="9"/>
  <c r="I21" i="9"/>
  <c r="I20" i="9"/>
  <c r="I19" i="9"/>
  <c r="I1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의료비지원.accdb;DefaultDir=C:\OA;DriverId=25;FIL=MS Access;MaxBufferSize=2048;PageTimeout=5;" command="SELECT 의료비.ID, 의료비.사번, 의료비.직원, 의료비.피보험자, 의료비.관계, 의료비.직원보상율, 의료비.부모보상율, 의료비.진료과, 의료비.구분, 의료비.진료일, 의료비.종료일, 의료비.수납금액, 의료비.미지급금액, 의료비.지급금액, 의료비.접수일자, 의료비.지급일자, 의료비.보험사담당자_x000d__x000a_FROM `C:\OA\의료비지원.accdb`.의료비 의료비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<sst xmlns="http://schemas.openxmlformats.org/spreadsheetml/2006/main" count="615" uniqueCount="117">
  <si>
    <t>어린이</t>
    <phoneticPr fontId="2" type="noConversion"/>
  </si>
  <si>
    <t>입장료</t>
    <phoneticPr fontId="2" type="noConversion"/>
  </si>
  <si>
    <t>대상</t>
    <phoneticPr fontId="2" type="noConversion"/>
  </si>
  <si>
    <t>GDP대비(%)</t>
    <phoneticPr fontId="2" type="noConversion"/>
  </si>
  <si>
    <t>민간의료비</t>
  </si>
  <si>
    <t>직원</t>
  </si>
  <si>
    <t>피보험자</t>
  </si>
  <si>
    <t>관계</t>
  </si>
  <si>
    <t>구분</t>
    <phoneticPr fontId="8" type="noConversion"/>
  </si>
  <si>
    <t>진료일</t>
  </si>
  <si>
    <t>종료일</t>
  </si>
  <si>
    <t>수납금액</t>
  </si>
  <si>
    <t>지급금액</t>
  </si>
  <si>
    <t>피보험자</t>
    <phoneticPr fontId="2" type="noConversion"/>
  </si>
  <si>
    <t>아들</t>
  </si>
  <si>
    <t>통원</t>
  </si>
  <si>
    <t>모</t>
  </si>
  <si>
    <t>약국</t>
  </si>
  <si>
    <t>배우자</t>
  </si>
  <si>
    <t>부</t>
  </si>
  <si>
    <t>피고용인</t>
  </si>
  <si>
    <t>지급금액(자기부담)</t>
    <phoneticPr fontId="2" type="noConversion"/>
  </si>
  <si>
    <t>구분</t>
    <phoneticPr fontId="2" type="noConversion"/>
  </si>
  <si>
    <t>자기부담금</t>
    <phoneticPr fontId="2" type="noConversion"/>
  </si>
  <si>
    <t>의원</t>
    <phoneticPr fontId="2" type="noConversion"/>
  </si>
  <si>
    <t>병원</t>
    <phoneticPr fontId="2" type="noConversion"/>
  </si>
  <si>
    <t>종합병원</t>
    <phoneticPr fontId="2" type="noConversion"/>
  </si>
  <si>
    <t>약제비</t>
    <phoneticPr fontId="2" type="noConversion"/>
  </si>
  <si>
    <t>약제비</t>
    <phoneticPr fontId="2" type="noConversion"/>
  </si>
  <si>
    <t>의원</t>
    <phoneticPr fontId="2" type="noConversion"/>
  </si>
  <si>
    <t>병원</t>
    <phoneticPr fontId="2" type="noConversion"/>
  </si>
  <si>
    <t>종합병원</t>
    <phoneticPr fontId="2" type="noConversion"/>
  </si>
  <si>
    <t>부</t>
    <phoneticPr fontId="2" type="noConversion"/>
  </si>
  <si>
    <t>모</t>
    <phoneticPr fontId="2" type="noConversion"/>
  </si>
  <si>
    <t>딸</t>
    <phoneticPr fontId="2" type="noConversion"/>
  </si>
  <si>
    <t>피고용인</t>
    <phoneticPr fontId="2" type="noConversion"/>
  </si>
  <si>
    <t>배우자</t>
    <phoneticPr fontId="2" type="noConversion"/>
  </si>
  <si>
    <t>아들</t>
    <phoneticPr fontId="2" type="noConversion"/>
  </si>
  <si>
    <t>병원</t>
    <phoneticPr fontId="8" type="noConversion"/>
  </si>
  <si>
    <t>수납금액 50%이상 평균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</si>
  <si>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</si>
  <si>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</si>
  <si>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</si>
  <si>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</si>
  <si>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구분</t>
    <phoneticPr fontId="8" type="noConversion"/>
  </si>
  <si>
    <t>미지급금액</t>
    <phoneticPr fontId="2" type="noConversion"/>
  </si>
  <si>
    <t>입원</t>
    <phoneticPr fontId="8" type="noConversion"/>
  </si>
  <si>
    <t>부모</t>
    <phoneticPr fontId="8" type="noConversion"/>
  </si>
  <si>
    <t>통원</t>
    <phoneticPr fontId="8" type="noConversion"/>
  </si>
  <si>
    <t>이현수</t>
  </si>
  <si>
    <t>황명희</t>
  </si>
  <si>
    <t>김주경</t>
  </si>
  <si>
    <t>이준원</t>
  </si>
  <si>
    <t>고성현</t>
  </si>
  <si>
    <t>고진호</t>
  </si>
  <si>
    <t>권민석</t>
  </si>
  <si>
    <t>김기웅</t>
  </si>
  <si>
    <t>김도현</t>
  </si>
  <si>
    <t>김민환</t>
  </si>
  <si>
    <t>김원종</t>
  </si>
  <si>
    <t>김재홍</t>
  </si>
  <si>
    <t>김준섭</t>
  </si>
  <si>
    <t>김창수</t>
  </si>
  <si>
    <t>김한솔</t>
  </si>
  <si>
    <t>문동준</t>
  </si>
  <si>
    <t>박도훈</t>
  </si>
  <si>
    <t>박승진</t>
  </si>
  <si>
    <t>박제현</t>
  </si>
  <si>
    <t>박호석</t>
  </si>
  <si>
    <t>배무현</t>
  </si>
  <si>
    <t>송정철</t>
  </si>
  <si>
    <t>신해나</t>
  </si>
  <si>
    <t>심영섭</t>
  </si>
  <si>
    <t>원태연</t>
  </si>
  <si>
    <t>윤동건</t>
  </si>
  <si>
    <t>윤준</t>
  </si>
  <si>
    <t>이길호</t>
  </si>
  <si>
    <t>이다일</t>
  </si>
  <si>
    <t>이도현</t>
  </si>
  <si>
    <t>이시영</t>
  </si>
  <si>
    <t>이영섭</t>
  </si>
  <si>
    <t>이예찬</t>
  </si>
  <si>
    <t>임용섭</t>
  </si>
  <si>
    <t>임정운</t>
  </si>
  <si>
    <t>전상연</t>
  </si>
  <si>
    <t>정민규</t>
  </si>
  <si>
    <t>정성태</t>
  </si>
  <si>
    <t>정유진</t>
  </si>
  <si>
    <t>딸</t>
  </si>
  <si>
    <t>조건</t>
    <phoneticPr fontId="2" type="noConversion"/>
  </si>
  <si>
    <t>지급금액(보상금)</t>
    <phoneticPr fontId="2" type="noConversion"/>
  </si>
  <si>
    <t>총합계</t>
  </si>
  <si>
    <t>2016년</t>
  </si>
  <si>
    <t>2017년</t>
  </si>
  <si>
    <t>2018년</t>
  </si>
  <si>
    <t>2019년</t>
  </si>
  <si>
    <t>2020년</t>
  </si>
  <si>
    <t>합계 : 지급금액</t>
  </si>
  <si>
    <t>관계2</t>
  </si>
  <si>
    <t>직계가족</t>
  </si>
  <si>
    <t>GDP대비 경상의료비 추이 [단위 : 조원, %]</t>
    <phoneticPr fontId="2" type="noConversion"/>
  </si>
  <si>
    <t>경상의료비</t>
    <phoneticPr fontId="2" type="noConversion"/>
  </si>
  <si>
    <t>정부,의무가입제도</t>
    <phoneticPr fontId="2" type="noConversion"/>
  </si>
  <si>
    <t>[표1]</t>
    <phoneticPr fontId="2" type="noConversion"/>
  </si>
  <si>
    <t>[표2]</t>
    <phoneticPr fontId="2" type="noConversion"/>
  </si>
  <si>
    <t>입장료</t>
    <phoneticPr fontId="2" type="noConversion"/>
  </si>
  <si>
    <t>인원수</t>
    <phoneticPr fontId="2" type="noConversion"/>
  </si>
  <si>
    <t>금액</t>
    <phoneticPr fontId="2" type="noConversion"/>
  </si>
  <si>
    <t>작업일</t>
    <phoneticPr fontId="2" type="noConversion"/>
  </si>
  <si>
    <t>구분</t>
    <phoneticPr fontId="2" type="noConversion"/>
  </si>
  <si>
    <t>전시회</t>
    <phoneticPr fontId="2" type="noConversion"/>
  </si>
  <si>
    <t>어른</t>
    <phoneticPr fontId="2" type="noConversion"/>
  </si>
  <si>
    <t>아쿠아리움</t>
    <phoneticPr fontId="2" type="noConversion"/>
  </si>
  <si>
    <t>청소년</t>
    <phoneticPr fontId="2" type="noConversion"/>
  </si>
  <si>
    <t>수목원</t>
    <phoneticPr fontId="2" type="noConversion"/>
  </si>
  <si>
    <t>아쿠아리움</t>
  </si>
  <si>
    <t>청소년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</si>
</sst>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0" borderId="0">
      <alignment vertical="center"/>
    </xf>
    <xf numFmtId="0" fontId="7" fillId="0" borderId="0">
      <alignment vertical="center"/>
    </xf>
  </cellStyleXfs>
  <cellXfs count="5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center" vertical="center"/>
    </xf>
    <xf numFmtId="41" fontId="11" fillId="0" borderId="0" xfId="1" applyFont="1" applyAlignment="1">
      <alignment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41" fontId="11" fillId="0" borderId="0" xfId="1" applyFont="1">
      <alignment vertical="center"/>
    </xf>
    <xf numFmtId="14" fontId="11" fillId="0" borderId="0" xfId="0" applyNumberFormat="1" applyFont="1">
      <alignment vertical="center"/>
    </xf>
    <xf numFmtId="0" fontId="11" fillId="0" borderId="3" xfId="0" applyFont="1" applyBorder="1" applyAlignment="1">
      <alignment horizontal="center" vertical="center"/>
    </xf>
    <xf numFmtId="41" fontId="11" fillId="0" borderId="3" xfId="1" applyFont="1" applyBorder="1" applyAlignment="1">
      <alignment horizontal="center" vertical="center"/>
    </xf>
    <xf numFmtId="14" fontId="11" fillId="0" borderId="0" xfId="1" applyNumberFormat="1" applyFont="1" applyAlignment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41" fontId="9" fillId="0" borderId="0" xfId="1" applyFont="1" applyFill="1" applyAlignment="1">
      <alignment vertical="center"/>
    </xf>
    <xf numFmtId="41" fontId="9" fillId="0" borderId="3" xfId="1" applyFont="1" applyFill="1" applyBorder="1" applyAlignment="1">
      <alignment vertical="center"/>
    </xf>
    <xf numFmtId="0" fontId="12" fillId="0" borderId="0" xfId="0" applyFont="1">
      <alignment vertical="center"/>
    </xf>
    <xf numFmtId="41" fontId="12" fillId="0" borderId="0" xfId="1" applyFont="1" applyFill="1">
      <alignment vertical="center"/>
    </xf>
    <xf numFmtId="0" fontId="12" fillId="0" borderId="3" xfId="2" applyFont="1" applyFill="1" applyBorder="1" applyAlignment="1" applyProtection="1">
      <alignment horizontal="center" vertical="center"/>
      <protection locked="0"/>
    </xf>
    <xf numFmtId="41" fontId="12" fillId="0" borderId="3" xfId="2" applyNumberFormat="1" applyFont="1" applyFill="1" applyBorder="1" applyAlignment="1" applyProtection="1">
      <alignment horizontal="center" vertical="center"/>
      <protection locked="0"/>
    </xf>
    <xf numFmtId="0" fontId="12" fillId="0" borderId="3" xfId="2" applyFont="1" applyFill="1" applyBorder="1" applyAlignment="1">
      <alignment horizontal="center" vertical="center"/>
    </xf>
    <xf numFmtId="41" fontId="12" fillId="0" borderId="3" xfId="2" applyNumberFormat="1" applyFont="1" applyFill="1" applyBorder="1">
      <alignment vertical="center"/>
    </xf>
    <xf numFmtId="0" fontId="12" fillId="0" borderId="3" xfId="0" applyFont="1" applyBorder="1" applyAlignment="1">
      <alignment horizontal="center" vertical="center"/>
    </xf>
    <xf numFmtId="41" fontId="9" fillId="0" borderId="3" xfId="1" applyFont="1" applyFill="1" applyBorder="1" applyAlignment="1">
      <alignment horizontal="right" vertical="center"/>
    </xf>
    <xf numFmtId="41" fontId="12" fillId="0" borderId="3" xfId="1" applyFont="1" applyFill="1" applyBorder="1">
      <alignment vertical="center"/>
    </xf>
    <xf numFmtId="41" fontId="12" fillId="0" borderId="3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0" fontId="12" fillId="0" borderId="3" xfId="3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12" fillId="0" borderId="3" xfId="1" applyFont="1" applyFill="1" applyBorder="1" applyAlignment="1">
      <alignment vertical="center"/>
    </xf>
    <xf numFmtId="41" fontId="12" fillId="0" borderId="0" xfId="1" applyFont="1" applyFill="1" applyAlignment="1">
      <alignment vertical="center"/>
    </xf>
    <xf numFmtId="9" fontId="12" fillId="0" borderId="0" xfId="0" applyNumberFormat="1" applyFont="1">
      <alignment vertical="center"/>
    </xf>
    <xf numFmtId="41" fontId="9" fillId="0" borderId="0" xfId="1" applyFont="1" applyFill="1" applyAlignment="1">
      <alignment horizontal="right" vertical="center"/>
    </xf>
    <xf numFmtId="14" fontId="9" fillId="0" borderId="3" xfId="0" applyNumberFormat="1" applyFont="1" applyBorder="1" applyAlignment="1">
      <alignment horizontal="center" vertical="center"/>
    </xf>
    <xf numFmtId="0" fontId="12" fillId="0" borderId="3" xfId="4" applyFont="1" applyBorder="1" applyAlignment="1">
      <alignment horizontal="center" vertical="center"/>
    </xf>
    <xf numFmtId="41" fontId="12" fillId="0" borderId="3" xfId="1" applyFont="1" applyFill="1" applyBorder="1" applyAlignment="1">
      <alignment horizontal="right" vertical="center"/>
    </xf>
    <xf numFmtId="176" fontId="12" fillId="0" borderId="3" xfId="0" applyNumberFormat="1" applyFont="1" applyBorder="1" applyAlignment="1"/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4" fillId="0" borderId="4" xfId="0" applyFont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41" fontId="11" fillId="3" borderId="1" xfId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2" fillId="4" borderId="3" xfId="2" applyFont="1" applyFill="1" applyBorder="1" applyAlignment="1" applyProtection="1">
      <alignment horizontal="center" vertical="center"/>
      <protection locked="0"/>
    </xf>
    <xf numFmtId="41" fontId="12" fillId="4" borderId="3" xfId="2" applyNumberFormat="1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>
      <alignment horizontal="left" vertical="center"/>
    </xf>
    <xf numFmtId="14" fontId="12" fillId="0" borderId="3" xfId="0" applyNumberFormat="1" applyFont="1" applyBorder="1" applyAlignment="1">
      <alignment horizontal="center" vertical="center"/>
    </xf>
    <xf numFmtId="9" fontId="12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5">
    <cellStyle name="40% - 강조색2 94" xfId="3" xr:uid="{00000000-0005-0000-0000-000000000000}"/>
    <cellStyle name="쉼표 [0]" xfId="1" builtinId="6"/>
    <cellStyle name="좋음" xfId="2" builtinId="26"/>
    <cellStyle name="표준" xfId="0" builtinId="0"/>
    <cellStyle name="표준 2" xfId="4" xr:uid="{00000000-0005-0000-0000-000004000000}"/>
  </cellStyles>
  <dxfs count="2">
    <dxf>
      <numFmt numFmtId="33" formatCode="_-* #,##0_-;\-* #,##0_-;_-* &quot;-&quot;_-;_-@_-"/>
    </dxf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GDP</a:t>
            </a:r>
            <a:r>
              <a:rPr lang="ko-KR" altLang="en-US"/>
              <a:t>대비 경상의료비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'기타작업-1'!$B$7</c:f>
              <c:strCache>
                <c:ptCount val="1"/>
                <c:pt idx="0">
                  <c:v>정부,의무가입제도</c:v>
                </c:pt>
              </c:strCache>
            </c:strRef>
          </c:tx>
          <c:invertIfNegative val="0"/>
          <c:cat>
            <c:numRef>
              <c:f>'기타작업-1'!$C$4:$G$4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'기타작업-1'!$C$7:$G$7</c:f>
              <c:numCache>
                <c:formatCode>General</c:formatCode>
                <c:ptCount val="5"/>
                <c:pt idx="0">
                  <c:v>59.5</c:v>
                </c:pt>
                <c:pt idx="1">
                  <c:v>64.900000000000006</c:v>
                </c:pt>
                <c:pt idx="2">
                  <c:v>71.3</c:v>
                </c:pt>
                <c:pt idx="3">
                  <c:v>77.5</c:v>
                </c:pt>
                <c:pt idx="4">
                  <c:v>86.3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C-452F-9044-8F22AA64E2B7}"/>
            </c:ext>
          </c:extLst>
        </c:ser>
        <c:ser>
          <c:idx val="2"/>
          <c:order val="2"/>
          <c:tx>
            <c:strRef>
              <c:f>'기타작업-1'!$B$8</c:f>
              <c:strCache>
                <c:ptCount val="1"/>
                <c:pt idx="0">
                  <c:v>민간의료비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'기타작업-1'!$C$4:$G$4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'기타작업-1'!$C$8:$G$8</c:f>
              <c:numCache>
                <c:formatCode>General</c:formatCode>
                <c:ptCount val="5"/>
                <c:pt idx="0">
                  <c:v>41.8</c:v>
                </c:pt>
                <c:pt idx="1">
                  <c:v>45.3</c:v>
                </c:pt>
                <c:pt idx="2">
                  <c:v>49.2</c:v>
                </c:pt>
                <c:pt idx="3">
                  <c:v>54.1</c:v>
                </c:pt>
                <c:pt idx="4">
                  <c:v>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9C-452F-9044-8F22AA64E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116416"/>
        <c:axId val="85117952"/>
      </c:barChart>
      <c:lineChart>
        <c:grouping val="standard"/>
        <c:varyColors val="0"/>
        <c:ser>
          <c:idx val="0"/>
          <c:order val="0"/>
          <c:tx>
            <c:strRef>
              <c:f>'기타작업-1'!$B$6</c:f>
              <c:strCache>
                <c:ptCount val="1"/>
                <c:pt idx="0">
                  <c:v>GDP대비(%)</c:v>
                </c:pt>
              </c:strCache>
            </c:strRef>
          </c:tx>
          <c:cat>
            <c:numRef>
              <c:f>'기타작업-1'!$C$4:$G$4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'기타작업-1'!$C$6:$G$6</c:f>
              <c:numCache>
                <c:formatCode>General</c:formatCode>
                <c:ptCount val="5"/>
                <c:pt idx="0">
                  <c:v>6.8</c:v>
                </c:pt>
                <c:pt idx="1">
                  <c:v>7</c:v>
                </c:pt>
                <c:pt idx="2">
                  <c:v>7.3</c:v>
                </c:pt>
                <c:pt idx="3">
                  <c:v>7.6</c:v>
                </c:pt>
                <c:pt idx="4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9C-452F-9044-8F22AA64E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396543"/>
        <c:axId val="2140396127"/>
      </c:lineChart>
      <c:catAx>
        <c:axId val="8511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117952"/>
        <c:crosses val="autoZero"/>
        <c:auto val="1"/>
        <c:lblAlgn val="ctr"/>
        <c:lblOffset val="100"/>
        <c:noMultiLvlLbl val="0"/>
      </c:catAx>
      <c:valAx>
        <c:axId val="8511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116416"/>
        <c:crosses val="autoZero"/>
        <c:crossBetween val="between"/>
      </c:valAx>
      <c:valAx>
        <c:axId val="2140396127"/>
        <c:scaling>
          <c:orientation val="minMax"/>
          <c:max val="8"/>
          <c:min val="6"/>
        </c:scaling>
        <c:delete val="0"/>
        <c:axPos val="r"/>
        <c:numFmt formatCode="General" sourceLinked="1"/>
        <c:majorTickMark val="out"/>
        <c:minorTickMark val="none"/>
        <c:tickLblPos val="nextTo"/>
        <c:crossAx val="2140396543"/>
        <c:crosses val="max"/>
        <c:crossBetween val="between"/>
        <c:majorUnit val="0.2"/>
      </c:valAx>
      <c:catAx>
        <c:axId val="2140396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0396127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676275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10</xdr:col>
          <xdr:colOff>885825</xdr:colOff>
          <xdr:row>5</xdr:row>
          <xdr:rowOff>9525</xdr:rowOff>
        </xdr:to>
        <xdr:sp macro="" textlink="">
          <xdr:nvSpPr>
            <xdr:cNvPr id="10241" name="cmd입력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531379513886" createdVersion="6" refreshedVersion="6" minRefreshableVersion="3" recordCount="99" xr:uid="{00000000-000A-0000-FFFF-FFFF00000000}">
  <cacheSource type="external" connectionId="1"/>
  <cacheFields count="18">
    <cacheField name="ID" numFmtId="0" sqlType="8">
      <sharedItems containsSemiMixedTypes="0" containsString="0" containsNumber="1" containsInteger="1" minValue="1" maxValue="99"/>
    </cacheField>
    <cacheField name="사번" numFmtId="0" sqlType="8">
      <sharedItems containsSemiMixedTypes="0" containsString="0" containsNumber="1" containsInteger="1" minValue="1404028" maxValue="1404030" count="3">
        <n v="1404028"/>
        <n v="1404029"/>
        <n v="1404030"/>
      </sharedItems>
    </cacheField>
    <cacheField name="직원" numFmtId="0" sqlType="-9">
      <sharedItems count="3">
        <s v="이현수"/>
        <s v="원현우"/>
        <s v="김혜영"/>
      </sharedItems>
    </cacheField>
    <cacheField name="피보험자" numFmtId="0" sqlType="-9">
      <sharedItems count="14">
        <s v="이은수"/>
        <s v="황명희"/>
        <s v="이현수"/>
        <s v="김주경"/>
        <s v="이준원"/>
        <s v="원재이"/>
        <s v="원성하"/>
        <s v="원현우"/>
        <s v="박수연"/>
        <s v="최성미"/>
        <s v="황선아"/>
        <s v="김혜영"/>
        <s v="황진아"/>
        <s v="황상윤"/>
      </sharedItems>
    </cacheField>
    <cacheField name="관계" numFmtId="0" sqlType="-9">
      <sharedItems count="6">
        <s v="아들"/>
        <s v="모"/>
        <s v="피고용인"/>
        <s v="배우자"/>
        <s v="부"/>
        <s v="딸"/>
      </sharedItems>
      <fieldGroup par="17"/>
    </cacheField>
    <cacheField name="직원보상율" numFmtId="0" sqlType="8">
      <sharedItems containsSemiMixedTypes="0" containsString="0" containsNumber="1" minValue="0.9" maxValue="0.9" count="1">
        <n v="0.9"/>
      </sharedItems>
    </cacheField>
    <cacheField name="부모보상율" numFmtId="0" sqlType="8">
      <sharedItems containsSemiMixedTypes="0" containsString="0" containsNumber="1" minValue="0.5" maxValue="0.5" count="1">
        <n v="0.5"/>
      </sharedItems>
    </cacheField>
    <cacheField name="진료과" numFmtId="0" sqlType="-9">
      <sharedItems containsBlank="1" count="4">
        <s v="내과"/>
        <m/>
        <s v="산부인과"/>
        <s v="일반외과"/>
      </sharedItems>
    </cacheField>
    <cacheField name="구분" numFmtId="0" sqlType="-9">
      <sharedItems count="3">
        <s v="통원"/>
        <s v="약국"/>
        <s v="입원"/>
      </sharedItems>
    </cacheField>
    <cacheField name="진료일" numFmtId="0" sqlType="11">
      <sharedItems containsSemiMixedTypes="0" containsNonDate="0" containsDate="1" containsString="0" minDate="2016-01-31T00:00:00" maxDate="2020-02-01T00:00:00" count="30">
        <d v="2017-09-30T00:00:00"/>
        <d v="2017-04-30T00:00:00"/>
        <d v="2017-02-28T00:00:00"/>
        <d v="2017-01-31T00:00:00"/>
        <d v="2017-10-31T00:00:00"/>
        <d v="2016-02-29T00:00:00"/>
        <d v="2016-03-31T00:00:00"/>
        <d v="2016-01-31T00:00:00"/>
        <d v="2018-12-31T00:00:00"/>
        <d v="2018-01-31T00:00:00"/>
        <d v="2018-08-31T00:00:00"/>
        <d v="2018-02-28T00:00:00"/>
        <d v="2018-03-31T00:00:00"/>
        <d v="2019-12-31T00:00:00"/>
        <d v="2019-11-30T00:00:00"/>
        <d v="2019-01-31T00:00:00"/>
        <d v="2019-05-31T00:00:00"/>
        <d v="2019-09-30T00:00:00"/>
        <d v="2017-06-30T00:00:00"/>
        <d v="2017-03-31T00:00:00"/>
        <d v="2017-11-30T00:00:00"/>
        <d v="2016-05-31T00:00:00"/>
        <d v="2018-10-31T00:00:00"/>
        <d v="2018-04-30T00:00:00"/>
        <d v="2020-01-31T00:00:00"/>
        <d v="2019-02-28T00:00:00"/>
        <d v="2019-06-30T00:00:00"/>
        <d v="2019-10-31T00:00:00"/>
        <d v="2016-04-30T00:00:00"/>
        <d v="2018-09-30T00:00:00"/>
      </sharedItems>
      <fieldGroup base="9">
        <rangePr groupBy="years" startDate="2016-01-31T00:00:00" endDate="2020-02-01T00:00:00"/>
        <groupItems count="7">
          <s v="&lt;2016-01-31"/>
          <s v="2016년"/>
          <s v="2017년"/>
          <s v="2018년"/>
          <s v="2019년"/>
          <s v="2020년"/>
          <s v="&gt;2020-02-01"/>
        </groupItems>
      </fieldGroup>
    </cacheField>
    <cacheField name="종료일" numFmtId="0" sqlType="11">
      <sharedItems containsSemiMixedTypes="0" containsNonDate="0" containsDate="1" containsString="0" minDate="2016-09-30T00:00:00" maxDate="2020-02-01T00:00:00" count="27">
        <d v="2017-12-31T00:00:00"/>
        <d v="2017-11-30T00:00:00"/>
        <d v="2017-03-31T00:00:00"/>
        <d v="2017-09-30T00:00:00"/>
        <d v="2016-09-30T00:00:00"/>
        <d v="2016-12-31T00:00:00"/>
        <d v="2018-12-31T00:00:00"/>
        <d v="2018-01-31T00:00:00"/>
        <d v="2018-08-31T00:00:00"/>
        <d v="2018-02-28T00:00:00"/>
        <d v="2018-03-31T00:00:00"/>
        <d v="2019-12-31T00:00:00"/>
        <d v="2019-11-30T00:00:00"/>
        <d v="2019-01-31T00:00:00"/>
        <d v="2019-05-31T00:00:00"/>
        <d v="2019-09-30T00:00:00"/>
        <d v="2017-04-30T00:00:00"/>
        <d v="2017-10-31T00:00:00"/>
        <d v="2016-10-31T00:00:00"/>
        <d v="2017-01-31T00:00:00"/>
        <d v="2018-10-31T00:00:00"/>
        <d v="2018-04-30T00:00:00"/>
        <d v="2020-01-31T00:00:00"/>
        <d v="2019-02-28T00:00:00"/>
        <d v="2019-06-30T00:00:00"/>
        <d v="2019-10-31T00:00:00"/>
        <d v="2018-09-30T00:00:00"/>
      </sharedItems>
    </cacheField>
    <cacheField name="수납금액" numFmtId="0" sqlType="8">
      <sharedItems containsSemiMixedTypes="0" containsString="0" containsNumber="1" containsInteger="1" minValue="2800" maxValue="1253980"/>
    </cacheField>
    <cacheField name="미지급금액" numFmtId="0" sqlType="8">
      <sharedItems containsString="0" containsBlank="1" containsNumber="1" containsInteger="1" minValue="0" maxValue="134398" count="12">
        <n v="3700"/>
        <n v="0"/>
        <n v="46000"/>
        <n v="24000"/>
        <n v="36490"/>
        <n v="88000"/>
        <n v="73200"/>
        <n v="96000"/>
        <n v="20000"/>
        <n v="15000"/>
        <n v="134398"/>
        <m/>
      </sharedItems>
    </cacheField>
    <cacheField name="지급금액" numFmtId="0" sqlType="8">
      <sharedItems containsSemiMixedTypes="0" containsString="0" containsNumber="1" containsInteger="1" minValue="0" maxValue="1119582"/>
    </cacheField>
    <cacheField name="접수일자" numFmtId="0" sqlType="11">
      <sharedItems containsSemiMixedTypes="0" containsNonDate="0" containsDate="1" containsString="0" minDate="2017-02-28T00:00:00" maxDate="2020-05-01T00:00:00" count="8">
        <d v="2018-01-31T00:00:00"/>
        <d v="2017-02-28T00:00:00"/>
        <d v="2019-03-31T00:00:00"/>
        <d v="2020-03-31T00:00:00"/>
        <d v="2018-02-28T00:00:00"/>
        <d v="2017-04-30T00:00:00"/>
        <d v="2019-04-30T00:00:00"/>
        <d v="2020-04-30T00:00:00"/>
      </sharedItems>
    </cacheField>
    <cacheField name="지급일자" numFmtId="0" sqlType="11">
      <sharedItems containsSemiMixedTypes="0" containsNonDate="0" containsDate="1" containsString="0" minDate="2017-03-31T00:00:00" maxDate="2020-05-01T00:00:00" count="9">
        <d v="2018-01-31T00:00:00"/>
        <d v="2017-03-31T00:00:00"/>
        <d v="2019-03-31T00:00:00"/>
        <d v="2020-03-31T00:00:00"/>
        <d v="2018-02-28T00:00:00"/>
        <d v="2017-04-30T00:00:00"/>
        <d v="2019-04-30T00:00:00"/>
        <d v="2019-05-31T00:00:00"/>
        <d v="2020-04-30T00:00:00"/>
      </sharedItems>
    </cacheField>
    <cacheField name="보험사담당자" numFmtId="0" sqlType="-9">
      <sharedItems count="1">
        <s v="이가람"/>
      </sharedItems>
    </cacheField>
    <cacheField name="관계2" numFmtId="0" databaseField="0">
      <fieldGroup base="4">
        <discretePr count="6">
          <x v="2"/>
          <x v="2"/>
          <x v="0"/>
          <x v="1"/>
          <x v="2"/>
          <x v="2"/>
        </discretePr>
        <groupItems count="3">
          <s v="피고용인"/>
          <s v="배우자"/>
          <s v="그룹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">
  <r>
    <n v="1"/>
    <x v="0"/>
    <x v="0"/>
    <x v="0"/>
    <x v="0"/>
    <x v="0"/>
    <x v="0"/>
    <x v="0"/>
    <x v="0"/>
    <x v="0"/>
    <x v="0"/>
    <n v="21500"/>
    <x v="0"/>
    <n v="16020"/>
    <x v="0"/>
    <x v="0"/>
    <x v="0"/>
  </r>
  <r>
    <n v="2"/>
    <x v="0"/>
    <x v="0"/>
    <x v="0"/>
    <x v="0"/>
    <x v="0"/>
    <x v="0"/>
    <x v="0"/>
    <x v="0"/>
    <x v="1"/>
    <x v="1"/>
    <n v="15900"/>
    <x v="1"/>
    <n v="14310"/>
    <x v="0"/>
    <x v="0"/>
    <x v="0"/>
  </r>
  <r>
    <n v="3"/>
    <x v="0"/>
    <x v="0"/>
    <x v="0"/>
    <x v="0"/>
    <x v="0"/>
    <x v="0"/>
    <x v="1"/>
    <x v="1"/>
    <x v="2"/>
    <x v="0"/>
    <n v="24960"/>
    <x v="1"/>
    <n v="22464"/>
    <x v="0"/>
    <x v="0"/>
    <x v="0"/>
  </r>
  <r>
    <n v="4"/>
    <x v="0"/>
    <x v="0"/>
    <x v="1"/>
    <x v="1"/>
    <x v="0"/>
    <x v="0"/>
    <x v="0"/>
    <x v="0"/>
    <x v="3"/>
    <x v="0"/>
    <n v="62300"/>
    <x v="1"/>
    <n v="31150"/>
    <x v="0"/>
    <x v="0"/>
    <x v="0"/>
  </r>
  <r>
    <n v="5"/>
    <x v="0"/>
    <x v="0"/>
    <x v="1"/>
    <x v="1"/>
    <x v="0"/>
    <x v="0"/>
    <x v="0"/>
    <x v="0"/>
    <x v="2"/>
    <x v="2"/>
    <n v="161200"/>
    <x v="1"/>
    <n v="80600"/>
    <x v="0"/>
    <x v="0"/>
    <x v="0"/>
  </r>
  <r>
    <n v="6"/>
    <x v="0"/>
    <x v="0"/>
    <x v="1"/>
    <x v="1"/>
    <x v="0"/>
    <x v="0"/>
    <x v="1"/>
    <x v="1"/>
    <x v="3"/>
    <x v="0"/>
    <n v="208100"/>
    <x v="1"/>
    <n v="104050"/>
    <x v="0"/>
    <x v="0"/>
    <x v="0"/>
  </r>
  <r>
    <n v="7"/>
    <x v="0"/>
    <x v="0"/>
    <x v="2"/>
    <x v="2"/>
    <x v="0"/>
    <x v="0"/>
    <x v="0"/>
    <x v="0"/>
    <x v="0"/>
    <x v="3"/>
    <n v="7200"/>
    <x v="1"/>
    <n v="6480"/>
    <x v="0"/>
    <x v="0"/>
    <x v="0"/>
  </r>
  <r>
    <n v="8"/>
    <x v="0"/>
    <x v="0"/>
    <x v="2"/>
    <x v="2"/>
    <x v="0"/>
    <x v="0"/>
    <x v="1"/>
    <x v="1"/>
    <x v="0"/>
    <x v="3"/>
    <n v="3200"/>
    <x v="1"/>
    <n v="2880"/>
    <x v="0"/>
    <x v="0"/>
    <x v="0"/>
  </r>
  <r>
    <n v="9"/>
    <x v="0"/>
    <x v="0"/>
    <x v="3"/>
    <x v="3"/>
    <x v="0"/>
    <x v="0"/>
    <x v="1"/>
    <x v="1"/>
    <x v="2"/>
    <x v="0"/>
    <n v="41000"/>
    <x v="1"/>
    <n v="36900"/>
    <x v="0"/>
    <x v="0"/>
    <x v="0"/>
  </r>
  <r>
    <n v="10"/>
    <x v="0"/>
    <x v="0"/>
    <x v="3"/>
    <x v="3"/>
    <x v="0"/>
    <x v="0"/>
    <x v="0"/>
    <x v="0"/>
    <x v="0"/>
    <x v="3"/>
    <n v="19700"/>
    <x v="1"/>
    <n v="17730"/>
    <x v="0"/>
    <x v="0"/>
    <x v="0"/>
  </r>
  <r>
    <n v="11"/>
    <x v="0"/>
    <x v="0"/>
    <x v="3"/>
    <x v="3"/>
    <x v="0"/>
    <x v="0"/>
    <x v="0"/>
    <x v="0"/>
    <x v="4"/>
    <x v="0"/>
    <n v="16700"/>
    <x v="1"/>
    <n v="15030"/>
    <x v="0"/>
    <x v="0"/>
    <x v="0"/>
  </r>
  <r>
    <n v="12"/>
    <x v="0"/>
    <x v="0"/>
    <x v="1"/>
    <x v="1"/>
    <x v="0"/>
    <x v="0"/>
    <x v="0"/>
    <x v="0"/>
    <x v="5"/>
    <x v="4"/>
    <n v="46000"/>
    <x v="2"/>
    <n v="0"/>
    <x v="1"/>
    <x v="1"/>
    <x v="0"/>
  </r>
  <r>
    <n v="13"/>
    <x v="0"/>
    <x v="0"/>
    <x v="1"/>
    <x v="1"/>
    <x v="0"/>
    <x v="0"/>
    <x v="1"/>
    <x v="1"/>
    <x v="6"/>
    <x v="4"/>
    <n v="19200"/>
    <x v="1"/>
    <n v="9600"/>
    <x v="1"/>
    <x v="1"/>
    <x v="0"/>
  </r>
  <r>
    <n v="14"/>
    <x v="0"/>
    <x v="0"/>
    <x v="1"/>
    <x v="1"/>
    <x v="0"/>
    <x v="0"/>
    <x v="0"/>
    <x v="0"/>
    <x v="7"/>
    <x v="5"/>
    <n v="76200"/>
    <x v="1"/>
    <n v="38100"/>
    <x v="1"/>
    <x v="1"/>
    <x v="0"/>
  </r>
  <r>
    <n v="15"/>
    <x v="0"/>
    <x v="0"/>
    <x v="1"/>
    <x v="1"/>
    <x v="0"/>
    <x v="0"/>
    <x v="1"/>
    <x v="1"/>
    <x v="7"/>
    <x v="5"/>
    <n v="236800"/>
    <x v="1"/>
    <n v="118400"/>
    <x v="1"/>
    <x v="1"/>
    <x v="0"/>
  </r>
  <r>
    <n v="16"/>
    <x v="0"/>
    <x v="0"/>
    <x v="4"/>
    <x v="4"/>
    <x v="0"/>
    <x v="0"/>
    <x v="1"/>
    <x v="1"/>
    <x v="3"/>
    <x v="0"/>
    <n v="151500"/>
    <x v="1"/>
    <n v="75750"/>
    <x v="0"/>
    <x v="0"/>
    <x v="0"/>
  </r>
  <r>
    <n v="17"/>
    <x v="0"/>
    <x v="0"/>
    <x v="4"/>
    <x v="4"/>
    <x v="0"/>
    <x v="0"/>
    <x v="0"/>
    <x v="0"/>
    <x v="3"/>
    <x v="0"/>
    <n v="30600"/>
    <x v="1"/>
    <n v="15300"/>
    <x v="0"/>
    <x v="0"/>
    <x v="0"/>
  </r>
  <r>
    <n v="18"/>
    <x v="0"/>
    <x v="0"/>
    <x v="4"/>
    <x v="4"/>
    <x v="0"/>
    <x v="0"/>
    <x v="0"/>
    <x v="0"/>
    <x v="2"/>
    <x v="2"/>
    <n v="223400"/>
    <x v="3"/>
    <n v="99700"/>
    <x v="0"/>
    <x v="0"/>
    <x v="0"/>
  </r>
  <r>
    <n v="19"/>
    <x v="0"/>
    <x v="0"/>
    <x v="3"/>
    <x v="3"/>
    <x v="0"/>
    <x v="0"/>
    <x v="2"/>
    <x v="0"/>
    <x v="8"/>
    <x v="6"/>
    <n v="79980"/>
    <x v="4"/>
    <n v="43490"/>
    <x v="2"/>
    <x v="2"/>
    <x v="0"/>
  </r>
  <r>
    <n v="20"/>
    <x v="0"/>
    <x v="0"/>
    <x v="4"/>
    <x v="4"/>
    <x v="0"/>
    <x v="0"/>
    <x v="1"/>
    <x v="1"/>
    <x v="9"/>
    <x v="6"/>
    <n v="137100"/>
    <x v="5"/>
    <n v="49100"/>
    <x v="2"/>
    <x v="2"/>
    <x v="0"/>
  </r>
  <r>
    <n v="21"/>
    <x v="0"/>
    <x v="0"/>
    <x v="1"/>
    <x v="1"/>
    <x v="0"/>
    <x v="0"/>
    <x v="1"/>
    <x v="0"/>
    <x v="9"/>
    <x v="6"/>
    <n v="73200"/>
    <x v="6"/>
    <n v="0"/>
    <x v="2"/>
    <x v="2"/>
    <x v="0"/>
  </r>
  <r>
    <n v="22"/>
    <x v="0"/>
    <x v="0"/>
    <x v="1"/>
    <x v="1"/>
    <x v="0"/>
    <x v="0"/>
    <x v="1"/>
    <x v="1"/>
    <x v="9"/>
    <x v="6"/>
    <n v="199300"/>
    <x v="7"/>
    <n v="103300"/>
    <x v="2"/>
    <x v="2"/>
    <x v="0"/>
  </r>
  <r>
    <n v="23"/>
    <x v="0"/>
    <x v="0"/>
    <x v="1"/>
    <x v="1"/>
    <x v="0"/>
    <x v="0"/>
    <x v="1"/>
    <x v="0"/>
    <x v="9"/>
    <x v="7"/>
    <n v="90110"/>
    <x v="8"/>
    <n v="70110"/>
    <x v="2"/>
    <x v="2"/>
    <x v="0"/>
  </r>
  <r>
    <n v="24"/>
    <x v="0"/>
    <x v="0"/>
    <x v="1"/>
    <x v="1"/>
    <x v="0"/>
    <x v="0"/>
    <x v="1"/>
    <x v="0"/>
    <x v="10"/>
    <x v="8"/>
    <n v="23860"/>
    <x v="8"/>
    <n v="3860"/>
    <x v="2"/>
    <x v="2"/>
    <x v="0"/>
  </r>
  <r>
    <n v="25"/>
    <x v="0"/>
    <x v="0"/>
    <x v="1"/>
    <x v="1"/>
    <x v="0"/>
    <x v="0"/>
    <x v="0"/>
    <x v="0"/>
    <x v="11"/>
    <x v="9"/>
    <n v="20600"/>
    <x v="8"/>
    <n v="600"/>
    <x v="2"/>
    <x v="2"/>
    <x v="0"/>
  </r>
  <r>
    <n v="26"/>
    <x v="0"/>
    <x v="0"/>
    <x v="1"/>
    <x v="1"/>
    <x v="0"/>
    <x v="0"/>
    <x v="1"/>
    <x v="0"/>
    <x v="11"/>
    <x v="9"/>
    <n v="32310"/>
    <x v="9"/>
    <n v="17310"/>
    <x v="2"/>
    <x v="2"/>
    <x v="0"/>
  </r>
  <r>
    <n v="27"/>
    <x v="0"/>
    <x v="0"/>
    <x v="1"/>
    <x v="1"/>
    <x v="0"/>
    <x v="0"/>
    <x v="1"/>
    <x v="0"/>
    <x v="12"/>
    <x v="10"/>
    <n v="119330"/>
    <x v="9"/>
    <n v="104330"/>
    <x v="2"/>
    <x v="2"/>
    <x v="0"/>
  </r>
  <r>
    <n v="28"/>
    <x v="0"/>
    <x v="0"/>
    <x v="4"/>
    <x v="4"/>
    <x v="0"/>
    <x v="0"/>
    <x v="3"/>
    <x v="0"/>
    <x v="11"/>
    <x v="9"/>
    <n v="32310"/>
    <x v="9"/>
    <n v="17310"/>
    <x v="2"/>
    <x v="2"/>
    <x v="0"/>
  </r>
  <r>
    <n v="29"/>
    <x v="0"/>
    <x v="0"/>
    <x v="4"/>
    <x v="4"/>
    <x v="0"/>
    <x v="0"/>
    <x v="3"/>
    <x v="0"/>
    <x v="12"/>
    <x v="10"/>
    <n v="133830"/>
    <x v="9"/>
    <n v="118830"/>
    <x v="2"/>
    <x v="2"/>
    <x v="0"/>
  </r>
  <r>
    <n v="30"/>
    <x v="0"/>
    <x v="0"/>
    <x v="4"/>
    <x v="4"/>
    <x v="0"/>
    <x v="0"/>
    <x v="1"/>
    <x v="0"/>
    <x v="13"/>
    <x v="11"/>
    <n v="34650"/>
    <x v="9"/>
    <n v="19650"/>
    <x v="3"/>
    <x v="3"/>
    <x v="0"/>
  </r>
  <r>
    <n v="31"/>
    <x v="0"/>
    <x v="0"/>
    <x v="4"/>
    <x v="4"/>
    <x v="0"/>
    <x v="0"/>
    <x v="0"/>
    <x v="2"/>
    <x v="14"/>
    <x v="12"/>
    <n v="1253980"/>
    <x v="10"/>
    <n v="1119582"/>
    <x v="3"/>
    <x v="3"/>
    <x v="0"/>
  </r>
  <r>
    <n v="32"/>
    <x v="0"/>
    <x v="0"/>
    <x v="4"/>
    <x v="4"/>
    <x v="0"/>
    <x v="0"/>
    <x v="1"/>
    <x v="0"/>
    <x v="15"/>
    <x v="13"/>
    <n v="70080"/>
    <x v="9"/>
    <n v="55080"/>
    <x v="3"/>
    <x v="3"/>
    <x v="0"/>
  </r>
  <r>
    <n v="33"/>
    <x v="0"/>
    <x v="0"/>
    <x v="4"/>
    <x v="4"/>
    <x v="0"/>
    <x v="0"/>
    <x v="1"/>
    <x v="0"/>
    <x v="15"/>
    <x v="13"/>
    <n v="203600"/>
    <x v="9"/>
    <n v="188600"/>
    <x v="3"/>
    <x v="3"/>
    <x v="0"/>
  </r>
  <r>
    <n v="34"/>
    <x v="0"/>
    <x v="0"/>
    <x v="4"/>
    <x v="4"/>
    <x v="0"/>
    <x v="0"/>
    <x v="1"/>
    <x v="0"/>
    <x v="15"/>
    <x v="13"/>
    <n v="38580"/>
    <x v="9"/>
    <n v="23580"/>
    <x v="3"/>
    <x v="3"/>
    <x v="0"/>
  </r>
  <r>
    <n v="35"/>
    <x v="0"/>
    <x v="0"/>
    <x v="4"/>
    <x v="4"/>
    <x v="0"/>
    <x v="0"/>
    <x v="1"/>
    <x v="0"/>
    <x v="16"/>
    <x v="14"/>
    <n v="26940"/>
    <x v="9"/>
    <n v="11940"/>
    <x v="3"/>
    <x v="3"/>
    <x v="0"/>
  </r>
  <r>
    <n v="36"/>
    <x v="0"/>
    <x v="0"/>
    <x v="4"/>
    <x v="4"/>
    <x v="0"/>
    <x v="0"/>
    <x v="1"/>
    <x v="0"/>
    <x v="17"/>
    <x v="15"/>
    <n v="130840"/>
    <x v="9"/>
    <n v="115840"/>
    <x v="3"/>
    <x v="3"/>
    <x v="0"/>
  </r>
  <r>
    <n v="37"/>
    <x v="0"/>
    <x v="0"/>
    <x v="4"/>
    <x v="4"/>
    <x v="0"/>
    <x v="0"/>
    <x v="1"/>
    <x v="0"/>
    <x v="13"/>
    <x v="11"/>
    <n v="40000"/>
    <x v="9"/>
    <n v="25000"/>
    <x v="3"/>
    <x v="3"/>
    <x v="0"/>
  </r>
  <r>
    <n v="38"/>
    <x v="1"/>
    <x v="1"/>
    <x v="5"/>
    <x v="5"/>
    <x v="0"/>
    <x v="0"/>
    <x v="0"/>
    <x v="0"/>
    <x v="4"/>
    <x v="7"/>
    <n v="11000"/>
    <x v="11"/>
    <n v="9900"/>
    <x v="4"/>
    <x v="4"/>
    <x v="0"/>
  </r>
  <r>
    <n v="39"/>
    <x v="1"/>
    <x v="1"/>
    <x v="5"/>
    <x v="5"/>
    <x v="0"/>
    <x v="0"/>
    <x v="0"/>
    <x v="0"/>
    <x v="18"/>
    <x v="0"/>
    <n v="62000"/>
    <x v="11"/>
    <n v="55800"/>
    <x v="4"/>
    <x v="4"/>
    <x v="0"/>
  </r>
  <r>
    <n v="40"/>
    <x v="1"/>
    <x v="1"/>
    <x v="5"/>
    <x v="5"/>
    <x v="0"/>
    <x v="0"/>
    <x v="1"/>
    <x v="1"/>
    <x v="19"/>
    <x v="7"/>
    <n v="57500"/>
    <x v="11"/>
    <n v="51750"/>
    <x v="4"/>
    <x v="4"/>
    <x v="0"/>
  </r>
  <r>
    <n v="41"/>
    <x v="1"/>
    <x v="1"/>
    <x v="6"/>
    <x v="4"/>
    <x v="0"/>
    <x v="0"/>
    <x v="0"/>
    <x v="0"/>
    <x v="19"/>
    <x v="7"/>
    <n v="800000"/>
    <x v="11"/>
    <n v="400000"/>
    <x v="4"/>
    <x v="4"/>
    <x v="0"/>
  </r>
  <r>
    <n v="42"/>
    <x v="1"/>
    <x v="1"/>
    <x v="6"/>
    <x v="4"/>
    <x v="0"/>
    <x v="0"/>
    <x v="0"/>
    <x v="0"/>
    <x v="19"/>
    <x v="16"/>
    <n v="57450"/>
    <x v="11"/>
    <n v="28725"/>
    <x v="4"/>
    <x v="4"/>
    <x v="0"/>
  </r>
  <r>
    <n v="43"/>
    <x v="1"/>
    <x v="1"/>
    <x v="6"/>
    <x v="4"/>
    <x v="0"/>
    <x v="0"/>
    <x v="1"/>
    <x v="1"/>
    <x v="19"/>
    <x v="7"/>
    <n v="80050"/>
    <x v="11"/>
    <n v="40025"/>
    <x v="4"/>
    <x v="4"/>
    <x v="0"/>
  </r>
  <r>
    <n v="44"/>
    <x v="1"/>
    <x v="1"/>
    <x v="7"/>
    <x v="2"/>
    <x v="0"/>
    <x v="0"/>
    <x v="0"/>
    <x v="0"/>
    <x v="4"/>
    <x v="17"/>
    <n v="22200"/>
    <x v="11"/>
    <n v="19980"/>
    <x v="4"/>
    <x v="4"/>
    <x v="0"/>
  </r>
  <r>
    <n v="45"/>
    <x v="1"/>
    <x v="1"/>
    <x v="7"/>
    <x v="2"/>
    <x v="0"/>
    <x v="0"/>
    <x v="1"/>
    <x v="1"/>
    <x v="4"/>
    <x v="17"/>
    <n v="22500"/>
    <x v="11"/>
    <n v="20250"/>
    <x v="4"/>
    <x v="4"/>
    <x v="0"/>
  </r>
  <r>
    <n v="46"/>
    <x v="1"/>
    <x v="1"/>
    <x v="8"/>
    <x v="3"/>
    <x v="0"/>
    <x v="0"/>
    <x v="1"/>
    <x v="1"/>
    <x v="19"/>
    <x v="7"/>
    <n v="48300"/>
    <x v="11"/>
    <n v="43470"/>
    <x v="4"/>
    <x v="4"/>
    <x v="0"/>
  </r>
  <r>
    <n v="47"/>
    <x v="1"/>
    <x v="1"/>
    <x v="8"/>
    <x v="3"/>
    <x v="0"/>
    <x v="0"/>
    <x v="0"/>
    <x v="0"/>
    <x v="4"/>
    <x v="17"/>
    <n v="86960"/>
    <x v="11"/>
    <n v="78264"/>
    <x v="4"/>
    <x v="4"/>
    <x v="0"/>
  </r>
  <r>
    <n v="48"/>
    <x v="1"/>
    <x v="1"/>
    <x v="8"/>
    <x v="3"/>
    <x v="0"/>
    <x v="0"/>
    <x v="0"/>
    <x v="0"/>
    <x v="20"/>
    <x v="7"/>
    <n v="33300"/>
    <x v="11"/>
    <n v="29970"/>
    <x v="4"/>
    <x v="4"/>
    <x v="0"/>
  </r>
  <r>
    <n v="49"/>
    <x v="1"/>
    <x v="1"/>
    <x v="6"/>
    <x v="4"/>
    <x v="0"/>
    <x v="0"/>
    <x v="0"/>
    <x v="0"/>
    <x v="6"/>
    <x v="18"/>
    <n v="95480"/>
    <x v="11"/>
    <n v="47740"/>
    <x v="5"/>
    <x v="5"/>
    <x v="0"/>
  </r>
  <r>
    <n v="50"/>
    <x v="1"/>
    <x v="1"/>
    <x v="6"/>
    <x v="4"/>
    <x v="0"/>
    <x v="0"/>
    <x v="1"/>
    <x v="1"/>
    <x v="21"/>
    <x v="18"/>
    <n v="50000"/>
    <x v="11"/>
    <n v="25000"/>
    <x v="5"/>
    <x v="5"/>
    <x v="0"/>
  </r>
  <r>
    <n v="51"/>
    <x v="1"/>
    <x v="1"/>
    <x v="6"/>
    <x v="4"/>
    <x v="0"/>
    <x v="0"/>
    <x v="0"/>
    <x v="0"/>
    <x v="6"/>
    <x v="19"/>
    <n v="240000"/>
    <x v="11"/>
    <n v="120000"/>
    <x v="5"/>
    <x v="5"/>
    <x v="0"/>
  </r>
  <r>
    <n v="52"/>
    <x v="1"/>
    <x v="1"/>
    <x v="6"/>
    <x v="4"/>
    <x v="0"/>
    <x v="0"/>
    <x v="1"/>
    <x v="1"/>
    <x v="5"/>
    <x v="19"/>
    <n v="28800"/>
    <x v="11"/>
    <n v="14400"/>
    <x v="5"/>
    <x v="5"/>
    <x v="0"/>
  </r>
  <r>
    <n v="53"/>
    <x v="1"/>
    <x v="1"/>
    <x v="9"/>
    <x v="1"/>
    <x v="0"/>
    <x v="0"/>
    <x v="1"/>
    <x v="1"/>
    <x v="19"/>
    <x v="7"/>
    <n v="28000"/>
    <x v="11"/>
    <n v="14000"/>
    <x v="4"/>
    <x v="4"/>
    <x v="0"/>
  </r>
  <r>
    <n v="54"/>
    <x v="1"/>
    <x v="1"/>
    <x v="9"/>
    <x v="1"/>
    <x v="0"/>
    <x v="0"/>
    <x v="0"/>
    <x v="0"/>
    <x v="19"/>
    <x v="7"/>
    <n v="72800"/>
    <x v="11"/>
    <n v="36400"/>
    <x v="4"/>
    <x v="4"/>
    <x v="0"/>
  </r>
  <r>
    <n v="55"/>
    <x v="1"/>
    <x v="1"/>
    <x v="9"/>
    <x v="1"/>
    <x v="0"/>
    <x v="0"/>
    <x v="0"/>
    <x v="0"/>
    <x v="19"/>
    <x v="16"/>
    <n v="51840"/>
    <x v="11"/>
    <n v="25920"/>
    <x v="4"/>
    <x v="4"/>
    <x v="0"/>
  </r>
  <r>
    <n v="56"/>
    <x v="1"/>
    <x v="1"/>
    <x v="8"/>
    <x v="3"/>
    <x v="0"/>
    <x v="0"/>
    <x v="2"/>
    <x v="0"/>
    <x v="15"/>
    <x v="13"/>
    <n v="200000"/>
    <x v="11"/>
    <n v="180000"/>
    <x v="6"/>
    <x v="6"/>
    <x v="0"/>
  </r>
  <r>
    <n v="57"/>
    <x v="1"/>
    <x v="1"/>
    <x v="9"/>
    <x v="1"/>
    <x v="0"/>
    <x v="0"/>
    <x v="1"/>
    <x v="1"/>
    <x v="11"/>
    <x v="13"/>
    <n v="34100"/>
    <x v="11"/>
    <n v="17050"/>
    <x v="6"/>
    <x v="6"/>
    <x v="0"/>
  </r>
  <r>
    <n v="58"/>
    <x v="1"/>
    <x v="1"/>
    <x v="6"/>
    <x v="4"/>
    <x v="0"/>
    <x v="0"/>
    <x v="1"/>
    <x v="0"/>
    <x v="11"/>
    <x v="13"/>
    <n v="4900"/>
    <x v="11"/>
    <n v="2450"/>
    <x v="6"/>
    <x v="6"/>
    <x v="0"/>
  </r>
  <r>
    <n v="59"/>
    <x v="1"/>
    <x v="1"/>
    <x v="6"/>
    <x v="4"/>
    <x v="0"/>
    <x v="0"/>
    <x v="1"/>
    <x v="1"/>
    <x v="11"/>
    <x v="13"/>
    <n v="7600"/>
    <x v="11"/>
    <n v="3800"/>
    <x v="6"/>
    <x v="6"/>
    <x v="0"/>
  </r>
  <r>
    <n v="60"/>
    <x v="1"/>
    <x v="1"/>
    <x v="6"/>
    <x v="4"/>
    <x v="0"/>
    <x v="0"/>
    <x v="1"/>
    <x v="0"/>
    <x v="11"/>
    <x v="9"/>
    <n v="3600"/>
    <x v="11"/>
    <n v="1800"/>
    <x v="6"/>
    <x v="6"/>
    <x v="0"/>
  </r>
  <r>
    <n v="61"/>
    <x v="1"/>
    <x v="1"/>
    <x v="6"/>
    <x v="4"/>
    <x v="0"/>
    <x v="0"/>
    <x v="1"/>
    <x v="0"/>
    <x v="22"/>
    <x v="20"/>
    <n v="16650"/>
    <x v="11"/>
    <n v="8325"/>
    <x v="6"/>
    <x v="6"/>
    <x v="0"/>
  </r>
  <r>
    <n v="62"/>
    <x v="1"/>
    <x v="1"/>
    <x v="6"/>
    <x v="4"/>
    <x v="0"/>
    <x v="0"/>
    <x v="0"/>
    <x v="0"/>
    <x v="12"/>
    <x v="10"/>
    <n v="34460"/>
    <x v="11"/>
    <n v="17230"/>
    <x v="6"/>
    <x v="6"/>
    <x v="0"/>
  </r>
  <r>
    <n v="63"/>
    <x v="1"/>
    <x v="1"/>
    <x v="6"/>
    <x v="4"/>
    <x v="0"/>
    <x v="0"/>
    <x v="1"/>
    <x v="0"/>
    <x v="12"/>
    <x v="10"/>
    <n v="24050"/>
    <x v="11"/>
    <n v="12025"/>
    <x v="6"/>
    <x v="6"/>
    <x v="0"/>
  </r>
  <r>
    <n v="64"/>
    <x v="1"/>
    <x v="1"/>
    <x v="6"/>
    <x v="4"/>
    <x v="0"/>
    <x v="0"/>
    <x v="1"/>
    <x v="0"/>
    <x v="23"/>
    <x v="21"/>
    <n v="24150"/>
    <x v="11"/>
    <n v="12075"/>
    <x v="6"/>
    <x v="6"/>
    <x v="0"/>
  </r>
  <r>
    <n v="65"/>
    <x v="1"/>
    <x v="1"/>
    <x v="9"/>
    <x v="1"/>
    <x v="0"/>
    <x v="0"/>
    <x v="3"/>
    <x v="0"/>
    <x v="12"/>
    <x v="10"/>
    <n v="7000"/>
    <x v="11"/>
    <n v="3500"/>
    <x v="6"/>
    <x v="7"/>
    <x v="0"/>
  </r>
  <r>
    <n v="66"/>
    <x v="1"/>
    <x v="1"/>
    <x v="9"/>
    <x v="1"/>
    <x v="0"/>
    <x v="0"/>
    <x v="3"/>
    <x v="0"/>
    <x v="23"/>
    <x v="21"/>
    <n v="38700"/>
    <x v="11"/>
    <n v="19350"/>
    <x v="6"/>
    <x v="7"/>
    <x v="0"/>
  </r>
  <r>
    <n v="67"/>
    <x v="1"/>
    <x v="1"/>
    <x v="9"/>
    <x v="1"/>
    <x v="0"/>
    <x v="0"/>
    <x v="1"/>
    <x v="0"/>
    <x v="24"/>
    <x v="22"/>
    <n v="37900"/>
    <x v="11"/>
    <n v="18950"/>
    <x v="7"/>
    <x v="8"/>
    <x v="0"/>
  </r>
  <r>
    <n v="68"/>
    <x v="1"/>
    <x v="1"/>
    <x v="9"/>
    <x v="1"/>
    <x v="0"/>
    <x v="0"/>
    <x v="0"/>
    <x v="2"/>
    <x v="13"/>
    <x v="11"/>
    <n v="26250"/>
    <x v="11"/>
    <n v="13125"/>
    <x v="7"/>
    <x v="8"/>
    <x v="0"/>
  </r>
  <r>
    <n v="69"/>
    <x v="1"/>
    <x v="1"/>
    <x v="9"/>
    <x v="1"/>
    <x v="0"/>
    <x v="0"/>
    <x v="1"/>
    <x v="0"/>
    <x v="25"/>
    <x v="23"/>
    <n v="35280"/>
    <x v="11"/>
    <n v="17640"/>
    <x v="7"/>
    <x v="8"/>
    <x v="0"/>
  </r>
  <r>
    <n v="70"/>
    <x v="1"/>
    <x v="1"/>
    <x v="9"/>
    <x v="1"/>
    <x v="0"/>
    <x v="0"/>
    <x v="1"/>
    <x v="0"/>
    <x v="25"/>
    <x v="23"/>
    <n v="2800"/>
    <x v="11"/>
    <n v="1400"/>
    <x v="7"/>
    <x v="8"/>
    <x v="0"/>
  </r>
  <r>
    <n v="71"/>
    <x v="1"/>
    <x v="1"/>
    <x v="9"/>
    <x v="1"/>
    <x v="0"/>
    <x v="0"/>
    <x v="1"/>
    <x v="0"/>
    <x v="25"/>
    <x v="23"/>
    <n v="8750"/>
    <x v="11"/>
    <n v="4375"/>
    <x v="7"/>
    <x v="8"/>
    <x v="0"/>
  </r>
  <r>
    <n v="72"/>
    <x v="1"/>
    <x v="1"/>
    <x v="9"/>
    <x v="1"/>
    <x v="0"/>
    <x v="0"/>
    <x v="1"/>
    <x v="0"/>
    <x v="26"/>
    <x v="24"/>
    <n v="56000"/>
    <x v="11"/>
    <n v="28000"/>
    <x v="7"/>
    <x v="8"/>
    <x v="0"/>
  </r>
  <r>
    <n v="73"/>
    <x v="1"/>
    <x v="1"/>
    <x v="9"/>
    <x v="1"/>
    <x v="0"/>
    <x v="0"/>
    <x v="1"/>
    <x v="0"/>
    <x v="27"/>
    <x v="25"/>
    <n v="40000"/>
    <x v="11"/>
    <n v="20000"/>
    <x v="7"/>
    <x v="8"/>
    <x v="0"/>
  </r>
  <r>
    <n v="74"/>
    <x v="1"/>
    <x v="1"/>
    <x v="9"/>
    <x v="1"/>
    <x v="0"/>
    <x v="0"/>
    <x v="1"/>
    <x v="0"/>
    <x v="24"/>
    <x v="22"/>
    <n v="35000"/>
    <x v="11"/>
    <n v="17500"/>
    <x v="7"/>
    <x v="8"/>
    <x v="0"/>
  </r>
  <r>
    <n v="75"/>
    <x v="2"/>
    <x v="2"/>
    <x v="10"/>
    <x v="5"/>
    <x v="0"/>
    <x v="0"/>
    <x v="0"/>
    <x v="0"/>
    <x v="20"/>
    <x v="7"/>
    <n v="254000"/>
    <x v="11"/>
    <n v="228600"/>
    <x v="4"/>
    <x v="4"/>
    <x v="0"/>
  </r>
  <r>
    <n v="76"/>
    <x v="2"/>
    <x v="2"/>
    <x v="10"/>
    <x v="5"/>
    <x v="0"/>
    <x v="0"/>
    <x v="0"/>
    <x v="0"/>
    <x v="6"/>
    <x v="4"/>
    <n v="35000"/>
    <x v="11"/>
    <n v="31500"/>
    <x v="5"/>
    <x v="5"/>
    <x v="0"/>
  </r>
  <r>
    <n v="77"/>
    <x v="2"/>
    <x v="2"/>
    <x v="10"/>
    <x v="5"/>
    <x v="0"/>
    <x v="0"/>
    <x v="0"/>
    <x v="1"/>
    <x v="28"/>
    <x v="4"/>
    <n v="13300"/>
    <x v="11"/>
    <n v="11970"/>
    <x v="5"/>
    <x v="5"/>
    <x v="0"/>
  </r>
  <r>
    <n v="78"/>
    <x v="2"/>
    <x v="2"/>
    <x v="11"/>
    <x v="2"/>
    <x v="0"/>
    <x v="0"/>
    <x v="0"/>
    <x v="0"/>
    <x v="5"/>
    <x v="19"/>
    <n v="140900"/>
    <x v="11"/>
    <n v="126810"/>
    <x v="5"/>
    <x v="5"/>
    <x v="0"/>
  </r>
  <r>
    <n v="79"/>
    <x v="2"/>
    <x v="2"/>
    <x v="11"/>
    <x v="2"/>
    <x v="0"/>
    <x v="0"/>
    <x v="0"/>
    <x v="1"/>
    <x v="7"/>
    <x v="19"/>
    <n v="52800"/>
    <x v="11"/>
    <n v="47520"/>
    <x v="5"/>
    <x v="5"/>
    <x v="0"/>
  </r>
  <r>
    <n v="80"/>
    <x v="2"/>
    <x v="2"/>
    <x v="11"/>
    <x v="2"/>
    <x v="0"/>
    <x v="0"/>
    <x v="0"/>
    <x v="1"/>
    <x v="2"/>
    <x v="0"/>
    <n v="6000"/>
    <x v="11"/>
    <n v="5400"/>
    <x v="4"/>
    <x v="4"/>
    <x v="0"/>
  </r>
  <r>
    <n v="81"/>
    <x v="2"/>
    <x v="2"/>
    <x v="11"/>
    <x v="2"/>
    <x v="0"/>
    <x v="0"/>
    <x v="0"/>
    <x v="0"/>
    <x v="2"/>
    <x v="0"/>
    <n v="17500"/>
    <x v="11"/>
    <n v="15750"/>
    <x v="4"/>
    <x v="4"/>
    <x v="0"/>
  </r>
  <r>
    <n v="82"/>
    <x v="2"/>
    <x v="2"/>
    <x v="12"/>
    <x v="5"/>
    <x v="0"/>
    <x v="0"/>
    <x v="0"/>
    <x v="0"/>
    <x v="19"/>
    <x v="2"/>
    <n v="120000"/>
    <x v="11"/>
    <n v="108000"/>
    <x v="4"/>
    <x v="4"/>
    <x v="0"/>
  </r>
  <r>
    <n v="83"/>
    <x v="2"/>
    <x v="2"/>
    <x v="12"/>
    <x v="5"/>
    <x v="0"/>
    <x v="0"/>
    <x v="0"/>
    <x v="0"/>
    <x v="8"/>
    <x v="6"/>
    <n v="74640"/>
    <x v="11"/>
    <n v="67176"/>
    <x v="6"/>
    <x v="6"/>
    <x v="0"/>
  </r>
  <r>
    <n v="84"/>
    <x v="2"/>
    <x v="2"/>
    <x v="12"/>
    <x v="5"/>
    <x v="0"/>
    <x v="0"/>
    <x v="0"/>
    <x v="1"/>
    <x v="9"/>
    <x v="6"/>
    <n v="41800"/>
    <x v="11"/>
    <n v="37620"/>
    <x v="6"/>
    <x v="6"/>
    <x v="0"/>
  </r>
  <r>
    <n v="85"/>
    <x v="2"/>
    <x v="2"/>
    <x v="12"/>
    <x v="5"/>
    <x v="0"/>
    <x v="0"/>
    <x v="0"/>
    <x v="0"/>
    <x v="9"/>
    <x v="6"/>
    <n v="57000"/>
    <x v="11"/>
    <n v="51300"/>
    <x v="6"/>
    <x v="6"/>
    <x v="0"/>
  </r>
  <r>
    <n v="86"/>
    <x v="2"/>
    <x v="2"/>
    <x v="12"/>
    <x v="5"/>
    <x v="0"/>
    <x v="0"/>
    <x v="0"/>
    <x v="1"/>
    <x v="9"/>
    <x v="6"/>
    <n v="117000"/>
    <x v="11"/>
    <n v="105300"/>
    <x v="6"/>
    <x v="6"/>
    <x v="0"/>
  </r>
  <r>
    <n v="87"/>
    <x v="2"/>
    <x v="2"/>
    <x v="10"/>
    <x v="5"/>
    <x v="0"/>
    <x v="0"/>
    <x v="0"/>
    <x v="0"/>
    <x v="11"/>
    <x v="9"/>
    <n v="22050"/>
    <x v="11"/>
    <n v="19845"/>
    <x v="6"/>
    <x v="6"/>
    <x v="0"/>
  </r>
  <r>
    <n v="88"/>
    <x v="2"/>
    <x v="2"/>
    <x v="10"/>
    <x v="5"/>
    <x v="0"/>
    <x v="0"/>
    <x v="0"/>
    <x v="0"/>
    <x v="29"/>
    <x v="26"/>
    <n v="28000"/>
    <x v="11"/>
    <n v="25200"/>
    <x v="6"/>
    <x v="6"/>
    <x v="0"/>
  </r>
  <r>
    <n v="89"/>
    <x v="2"/>
    <x v="2"/>
    <x v="11"/>
    <x v="2"/>
    <x v="0"/>
    <x v="0"/>
    <x v="0"/>
    <x v="0"/>
    <x v="11"/>
    <x v="9"/>
    <n v="80000"/>
    <x v="11"/>
    <n v="72000"/>
    <x v="6"/>
    <x v="6"/>
    <x v="0"/>
  </r>
  <r>
    <n v="90"/>
    <x v="2"/>
    <x v="2"/>
    <x v="13"/>
    <x v="0"/>
    <x v="0"/>
    <x v="0"/>
    <x v="0"/>
    <x v="0"/>
    <x v="12"/>
    <x v="10"/>
    <n v="16900"/>
    <x v="11"/>
    <n v="15210"/>
    <x v="6"/>
    <x v="6"/>
    <x v="0"/>
  </r>
  <r>
    <n v="91"/>
    <x v="2"/>
    <x v="2"/>
    <x v="13"/>
    <x v="0"/>
    <x v="0"/>
    <x v="0"/>
    <x v="0"/>
    <x v="0"/>
    <x v="12"/>
    <x v="10"/>
    <n v="12130"/>
    <x v="11"/>
    <n v="10917"/>
    <x v="6"/>
    <x v="6"/>
    <x v="0"/>
  </r>
  <r>
    <n v="92"/>
    <x v="2"/>
    <x v="2"/>
    <x v="13"/>
    <x v="0"/>
    <x v="0"/>
    <x v="0"/>
    <x v="0"/>
    <x v="0"/>
    <x v="12"/>
    <x v="10"/>
    <n v="340000"/>
    <x v="11"/>
    <n v="306000"/>
    <x v="6"/>
    <x v="7"/>
    <x v="0"/>
  </r>
  <r>
    <n v="93"/>
    <x v="2"/>
    <x v="2"/>
    <x v="13"/>
    <x v="0"/>
    <x v="0"/>
    <x v="0"/>
    <x v="0"/>
    <x v="0"/>
    <x v="23"/>
    <x v="21"/>
    <n v="32000"/>
    <x v="11"/>
    <n v="28800"/>
    <x v="6"/>
    <x v="7"/>
    <x v="0"/>
  </r>
  <r>
    <n v="94"/>
    <x v="2"/>
    <x v="2"/>
    <x v="13"/>
    <x v="0"/>
    <x v="0"/>
    <x v="0"/>
    <x v="0"/>
    <x v="0"/>
    <x v="13"/>
    <x v="11"/>
    <n v="48000"/>
    <x v="11"/>
    <n v="43200"/>
    <x v="7"/>
    <x v="8"/>
    <x v="0"/>
  </r>
  <r>
    <n v="95"/>
    <x v="2"/>
    <x v="2"/>
    <x v="13"/>
    <x v="0"/>
    <x v="0"/>
    <x v="0"/>
    <x v="0"/>
    <x v="2"/>
    <x v="13"/>
    <x v="11"/>
    <n v="22200"/>
    <x v="11"/>
    <n v="19980"/>
    <x v="7"/>
    <x v="8"/>
    <x v="0"/>
  </r>
  <r>
    <n v="96"/>
    <x v="2"/>
    <x v="2"/>
    <x v="10"/>
    <x v="5"/>
    <x v="0"/>
    <x v="0"/>
    <x v="0"/>
    <x v="0"/>
    <x v="15"/>
    <x v="13"/>
    <n v="58800"/>
    <x v="11"/>
    <n v="52920"/>
    <x v="7"/>
    <x v="8"/>
    <x v="0"/>
  </r>
  <r>
    <n v="97"/>
    <x v="2"/>
    <x v="2"/>
    <x v="10"/>
    <x v="5"/>
    <x v="0"/>
    <x v="0"/>
    <x v="0"/>
    <x v="0"/>
    <x v="15"/>
    <x v="13"/>
    <n v="31250"/>
    <x v="11"/>
    <n v="28125"/>
    <x v="7"/>
    <x v="8"/>
    <x v="0"/>
  </r>
  <r>
    <n v="98"/>
    <x v="2"/>
    <x v="2"/>
    <x v="10"/>
    <x v="5"/>
    <x v="0"/>
    <x v="0"/>
    <x v="0"/>
    <x v="0"/>
    <x v="15"/>
    <x v="13"/>
    <n v="17500"/>
    <x v="11"/>
    <n v="15750"/>
    <x v="7"/>
    <x v="8"/>
    <x v="0"/>
  </r>
  <r>
    <n v="99"/>
    <x v="2"/>
    <x v="2"/>
    <x v="10"/>
    <x v="5"/>
    <x v="0"/>
    <x v="0"/>
    <x v="0"/>
    <x v="0"/>
    <x v="26"/>
    <x v="24"/>
    <n v="35000"/>
    <x v="11"/>
    <n v="31500"/>
    <x v="7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2:I10" firstHeaderRow="1" firstDataRow="3" firstDataCol="1"/>
  <pivotFields count="18"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7">
        <item x="5"/>
        <item x="1"/>
        <item x="3"/>
        <item x="4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3">
        <item n="직계가족" x="2"/>
        <item x="1"/>
        <item x="0"/>
      </items>
    </pivotField>
  </pivotFields>
  <rowFields count="1">
    <field x="9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2">
    <field x="17"/>
    <field x="4"/>
  </colFields>
  <colItems count="7">
    <i>
      <x/>
      <x/>
    </i>
    <i r="1">
      <x v="1"/>
    </i>
    <i r="1">
      <x v="3"/>
    </i>
    <i r="1">
      <x v="4"/>
    </i>
    <i>
      <x v="1"/>
      <x v="2"/>
    </i>
    <i>
      <x v="2"/>
      <x v="5"/>
    </i>
    <i t="grand">
      <x/>
    </i>
  </colItems>
  <dataFields count="1">
    <dataField name="합계 : 지급금액" fld="13" baseField="0" baseItem="0" numFmtId="41"/>
  </dataFields>
  <formats count="1">
    <format dxfId="0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H:\03.&#52636;&#54032;&#49324;2\00.&#50500;&#52852;&#45936;&#48120;&#49548;&#54532;&#53944;\01.&#52980;&#54876;1&#44553;&#49892;&#44592;\01.&#50896;&#44256;\06.&#44592;&#52636;&#47928;&#51228;1&#54924;\&#44592;&#52636;&#47928;&#51228;1&#54924;_&#51221;&#45813;.xlsm" TargetMode="External"/><Relationship Id="rId2" Type="http://schemas.openxmlformats.org/officeDocument/2006/relationships/externalLinkPath" Target="file:///H:\03.&#52636;&#54032;&#49324;2\00.&#50500;&#52852;&#45936;&#48120;&#49548;&#54532;&#53944;\01.&#52980;&#54876;1&#44553;&#49892;&#44592;\01.&#50896;&#44256;\06.&#44592;&#52636;&#47928;&#51228;1&#54924;\&#44592;&#52636;&#47928;&#51228;1&#54924;_&#51221;&#45813;.xlsm" TargetMode="External"/><Relationship Id="rId1" Type="http://schemas.openxmlformats.org/officeDocument/2006/relationships/externalLinkPath" Target="file:///H:\03.&#52636;&#54032;&#49324;2\00.&#50500;&#52852;&#45936;&#48120;&#49548;&#54532;&#53944;\01.&#52980;&#54876;1&#44553;&#49892;&#44592;\01.&#50896;&#44256;\06.&#44592;&#52636;&#47928;&#51228;1&#54924;\&#44592;&#52636;&#47928;&#51228;1&#54924;_&#51221;&#45813;.xlsm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externalLinkPath" Target="file:///H:\03.&#52636;&#54032;&#49324;2\00.&#50500;&#52852;&#45936;&#48120;&#49548;&#54532;&#53944;\01.&#52980;&#54876;1&#44553;&#49892;&#44592;\01.&#50896;&#44256;\06.&#44592;&#52636;&#47928;&#51228;1&#54924;\&#44592;&#52636;&#47928;&#51228;1&#54924;_&#51221;&#45813;.xls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1"/>
  <sheetViews>
    <sheetView workbookViewId="0"/>
  </sheetViews>
  <sheetFormatPr defaultRowHeight="16.5"/>
  <cols>
    <col min="1" max="1" width="3.5" customWidth="1"/>
    <col min="2" max="10" width="10.25" customWidth="1"/>
  </cols>
  <sheetData>
    <row r="1" spans="1:10">
      <c r="A1" s="16"/>
      <c r="B1" s="17"/>
      <c r="C1" s="17"/>
      <c r="D1" s="16"/>
      <c r="E1" s="16"/>
      <c r="F1" s="18"/>
      <c r="G1" s="18"/>
      <c r="H1" s="16"/>
      <c r="I1" s="20"/>
      <c r="J1" s="21"/>
    </row>
    <row r="2" spans="1:10">
      <c r="A2" s="18"/>
      <c r="B2" s="25" t="s">
        <v>5</v>
      </c>
      <c r="C2" s="25" t="s">
        <v>6</v>
      </c>
      <c r="D2" s="25" t="s">
        <v>7</v>
      </c>
      <c r="E2" s="25" t="s">
        <v>8</v>
      </c>
      <c r="F2" s="25" t="s">
        <v>9</v>
      </c>
      <c r="G2" s="25" t="s">
        <v>10</v>
      </c>
      <c r="H2" s="26" t="s">
        <v>11</v>
      </c>
      <c r="I2" s="26" t="s">
        <v>45</v>
      </c>
      <c r="J2" s="26" t="s">
        <v>12</v>
      </c>
    </row>
    <row r="3" spans="1:10">
      <c r="A3" s="23"/>
      <c r="B3" s="19" t="s">
        <v>49</v>
      </c>
      <c r="C3" s="19" t="s">
        <v>50</v>
      </c>
      <c r="D3" s="19" t="s">
        <v>16</v>
      </c>
      <c r="E3" s="19" t="s">
        <v>15</v>
      </c>
      <c r="F3" s="41">
        <v>42429</v>
      </c>
      <c r="G3" s="41">
        <v>42643</v>
      </c>
      <c r="H3" s="30">
        <v>46000</v>
      </c>
      <c r="I3" s="30">
        <f t="shared" ref="I3:I9" si="0">H3-J3</f>
        <v>46000</v>
      </c>
      <c r="J3" s="30">
        <v>0</v>
      </c>
    </row>
    <row r="4" spans="1:10">
      <c r="A4" s="23"/>
      <c r="B4" s="19" t="s">
        <v>49</v>
      </c>
      <c r="C4" s="19" t="s">
        <v>50</v>
      </c>
      <c r="D4" s="19" t="s">
        <v>16</v>
      </c>
      <c r="E4" s="19" t="s">
        <v>17</v>
      </c>
      <c r="F4" s="41">
        <v>42460</v>
      </c>
      <c r="G4" s="41">
        <v>42643</v>
      </c>
      <c r="H4" s="30">
        <v>19200</v>
      </c>
      <c r="I4" s="30">
        <f t="shared" si="0"/>
        <v>9600</v>
      </c>
      <c r="J4" s="30">
        <v>9600</v>
      </c>
    </row>
    <row r="5" spans="1:10">
      <c r="A5" s="23"/>
      <c r="B5" s="19" t="s">
        <v>49</v>
      </c>
      <c r="C5" s="19" t="s">
        <v>50</v>
      </c>
      <c r="D5" s="19" t="s">
        <v>16</v>
      </c>
      <c r="E5" s="19" t="s">
        <v>15</v>
      </c>
      <c r="F5" s="41">
        <v>42400</v>
      </c>
      <c r="G5" s="41">
        <v>42735</v>
      </c>
      <c r="H5" s="30">
        <v>76200</v>
      </c>
      <c r="I5" s="30">
        <f t="shared" si="0"/>
        <v>38100</v>
      </c>
      <c r="J5" s="30">
        <v>38100</v>
      </c>
    </row>
    <row r="6" spans="1:10">
      <c r="A6" s="23"/>
      <c r="B6" s="19" t="s">
        <v>49</v>
      </c>
      <c r="C6" s="19" t="s">
        <v>50</v>
      </c>
      <c r="D6" s="19" t="s">
        <v>16</v>
      </c>
      <c r="E6" s="19" t="s">
        <v>17</v>
      </c>
      <c r="F6" s="41">
        <v>42400</v>
      </c>
      <c r="G6" s="41">
        <v>42735</v>
      </c>
      <c r="H6" s="30">
        <v>236800</v>
      </c>
      <c r="I6" s="30">
        <f t="shared" si="0"/>
        <v>118400</v>
      </c>
      <c r="J6" s="30">
        <v>118400</v>
      </c>
    </row>
    <row r="7" spans="1:10">
      <c r="A7" s="23"/>
      <c r="B7" s="19" t="s">
        <v>49</v>
      </c>
      <c r="C7" s="19" t="s">
        <v>52</v>
      </c>
      <c r="D7" s="19" t="s">
        <v>19</v>
      </c>
      <c r="E7" s="19" t="s">
        <v>17</v>
      </c>
      <c r="F7" s="41">
        <v>42766</v>
      </c>
      <c r="G7" s="41">
        <v>43100</v>
      </c>
      <c r="H7" s="30">
        <v>151500</v>
      </c>
      <c r="I7" s="30">
        <f t="shared" si="0"/>
        <v>75750</v>
      </c>
      <c r="J7" s="30">
        <v>75750</v>
      </c>
    </row>
    <row r="8" spans="1:10">
      <c r="A8" s="23"/>
      <c r="B8" s="19" t="s">
        <v>49</v>
      </c>
      <c r="C8" s="19" t="s">
        <v>52</v>
      </c>
      <c r="D8" s="19" t="s">
        <v>19</v>
      </c>
      <c r="E8" s="19" t="s">
        <v>15</v>
      </c>
      <c r="F8" s="41">
        <v>42766</v>
      </c>
      <c r="G8" s="41">
        <v>43100</v>
      </c>
      <c r="H8" s="30">
        <v>30600</v>
      </c>
      <c r="I8" s="30">
        <f t="shared" si="0"/>
        <v>15300</v>
      </c>
      <c r="J8" s="30">
        <v>15300</v>
      </c>
    </row>
    <row r="9" spans="1:10">
      <c r="A9" s="23"/>
      <c r="B9" s="19" t="s">
        <v>49</v>
      </c>
      <c r="C9" s="19" t="s">
        <v>52</v>
      </c>
      <c r="D9" s="19" t="s">
        <v>19</v>
      </c>
      <c r="E9" s="19" t="s">
        <v>15</v>
      </c>
      <c r="F9" s="41">
        <v>42794</v>
      </c>
      <c r="G9" s="41">
        <v>42825</v>
      </c>
      <c r="H9" s="30">
        <v>223400</v>
      </c>
      <c r="I9" s="30">
        <f t="shared" si="0"/>
        <v>123700</v>
      </c>
      <c r="J9" s="30">
        <v>99700</v>
      </c>
    </row>
    <row r="10" spans="1:10">
      <c r="A10" s="23"/>
      <c r="B10" s="19" t="s">
        <v>49</v>
      </c>
      <c r="C10" s="19" t="s">
        <v>51</v>
      </c>
      <c r="D10" s="19" t="s">
        <v>18</v>
      </c>
      <c r="E10" s="19" t="s">
        <v>15</v>
      </c>
      <c r="F10" s="41">
        <v>43465</v>
      </c>
      <c r="G10" s="41">
        <v>43465</v>
      </c>
      <c r="H10" s="30">
        <v>79980</v>
      </c>
      <c r="I10" s="30">
        <v>36490</v>
      </c>
      <c r="J10" s="30">
        <v>43490</v>
      </c>
    </row>
    <row r="11" spans="1:10">
      <c r="A11" s="23"/>
      <c r="B11" s="19" t="s">
        <v>49</v>
      </c>
      <c r="C11" s="19" t="s">
        <v>52</v>
      </c>
      <c r="D11" s="19" t="s">
        <v>19</v>
      </c>
      <c r="E11" s="19" t="s">
        <v>17</v>
      </c>
      <c r="F11" s="41">
        <v>43131</v>
      </c>
      <c r="G11" s="41">
        <v>43465</v>
      </c>
      <c r="H11" s="30">
        <v>137100</v>
      </c>
      <c r="I11" s="30">
        <v>88000</v>
      </c>
      <c r="J11" s="30">
        <v>49100</v>
      </c>
    </row>
    <row r="12" spans="1:10">
      <c r="A12" s="23"/>
      <c r="B12" s="19" t="s">
        <v>49</v>
      </c>
      <c r="C12" s="19" t="s">
        <v>50</v>
      </c>
      <c r="D12" s="19" t="s">
        <v>16</v>
      </c>
      <c r="E12" s="19" t="s">
        <v>15</v>
      </c>
      <c r="F12" s="41">
        <v>43131</v>
      </c>
      <c r="G12" s="41">
        <v>43465</v>
      </c>
      <c r="H12" s="30">
        <v>73200</v>
      </c>
      <c r="I12" s="30">
        <v>73200</v>
      </c>
      <c r="J12" s="30">
        <v>0</v>
      </c>
    </row>
    <row r="13" spans="1:10">
      <c r="A13" s="23"/>
      <c r="B13" s="19" t="s">
        <v>49</v>
      </c>
      <c r="C13" s="19" t="s">
        <v>50</v>
      </c>
      <c r="D13" s="19" t="s">
        <v>16</v>
      </c>
      <c r="E13" s="19" t="s">
        <v>17</v>
      </c>
      <c r="F13" s="41">
        <v>43131</v>
      </c>
      <c r="G13" s="41">
        <v>43465</v>
      </c>
      <c r="H13" s="30">
        <v>199300</v>
      </c>
      <c r="I13" s="30">
        <v>96000</v>
      </c>
      <c r="J13" s="30">
        <v>103300</v>
      </c>
    </row>
    <row r="14" spans="1:10">
      <c r="A14" s="23"/>
      <c r="B14" s="19" t="s">
        <v>49</v>
      </c>
      <c r="C14" s="19" t="s">
        <v>50</v>
      </c>
      <c r="D14" s="19" t="s">
        <v>16</v>
      </c>
      <c r="E14" s="19" t="s">
        <v>15</v>
      </c>
      <c r="F14" s="41">
        <v>43131</v>
      </c>
      <c r="G14" s="41">
        <v>43131</v>
      </c>
      <c r="H14" s="30">
        <v>90110</v>
      </c>
      <c r="I14" s="30">
        <v>20000</v>
      </c>
      <c r="J14" s="30">
        <v>70110</v>
      </c>
    </row>
    <row r="15" spans="1:10">
      <c r="A15" s="23"/>
      <c r="B15" s="19" t="s">
        <v>49</v>
      </c>
      <c r="C15" s="19" t="s">
        <v>50</v>
      </c>
      <c r="D15" s="19" t="s">
        <v>16</v>
      </c>
      <c r="E15" s="19" t="s">
        <v>15</v>
      </c>
      <c r="F15" s="41">
        <v>43343</v>
      </c>
      <c r="G15" s="41">
        <v>43343</v>
      </c>
      <c r="H15" s="30">
        <v>23860</v>
      </c>
      <c r="I15" s="30">
        <v>20000</v>
      </c>
      <c r="J15" s="30">
        <v>3860</v>
      </c>
    </row>
    <row r="16" spans="1:10">
      <c r="A16" s="23"/>
      <c r="B16" s="19" t="s">
        <v>49</v>
      </c>
      <c r="C16" s="19" t="s">
        <v>50</v>
      </c>
      <c r="D16" s="19" t="s">
        <v>16</v>
      </c>
      <c r="E16" s="19" t="s">
        <v>15</v>
      </c>
      <c r="F16" s="41">
        <v>43159</v>
      </c>
      <c r="G16" s="41">
        <v>43159</v>
      </c>
      <c r="H16" s="30">
        <v>20600</v>
      </c>
      <c r="I16" s="30">
        <v>20000</v>
      </c>
      <c r="J16" s="30">
        <v>600</v>
      </c>
    </row>
    <row r="17" spans="1:10">
      <c r="A17" s="23"/>
      <c r="B17" s="19" t="s">
        <v>49</v>
      </c>
      <c r="C17" s="19" t="s">
        <v>50</v>
      </c>
      <c r="D17" s="19" t="s">
        <v>16</v>
      </c>
      <c r="E17" s="19" t="s">
        <v>15</v>
      </c>
      <c r="F17" s="41">
        <v>43159</v>
      </c>
      <c r="G17" s="41">
        <v>43159</v>
      </c>
      <c r="H17" s="30">
        <v>32310</v>
      </c>
      <c r="I17" s="30">
        <v>15000</v>
      </c>
      <c r="J17" s="30">
        <v>17310</v>
      </c>
    </row>
    <row r="18" spans="1:10">
      <c r="A18" s="23"/>
      <c r="B18" s="19" t="s">
        <v>49</v>
      </c>
      <c r="C18" s="19" t="s">
        <v>50</v>
      </c>
      <c r="D18" s="19" t="s">
        <v>16</v>
      </c>
      <c r="E18" s="19" t="s">
        <v>15</v>
      </c>
      <c r="F18" s="41">
        <v>43190</v>
      </c>
      <c r="G18" s="41">
        <v>43190</v>
      </c>
      <c r="H18" s="30">
        <v>119330</v>
      </c>
      <c r="I18" s="30">
        <v>15000</v>
      </c>
      <c r="J18" s="30">
        <v>104330</v>
      </c>
    </row>
    <row r="19" spans="1:10">
      <c r="A19" s="23"/>
      <c r="B19" s="19" t="s">
        <v>49</v>
      </c>
      <c r="C19" s="19" t="s">
        <v>52</v>
      </c>
      <c r="D19" s="19" t="s">
        <v>19</v>
      </c>
      <c r="E19" s="19" t="s">
        <v>15</v>
      </c>
      <c r="F19" s="41">
        <v>43159</v>
      </c>
      <c r="G19" s="41">
        <v>43159</v>
      </c>
      <c r="H19" s="30">
        <v>32310</v>
      </c>
      <c r="I19" s="30">
        <v>15000</v>
      </c>
      <c r="J19" s="30">
        <v>17310</v>
      </c>
    </row>
    <row r="20" spans="1:10">
      <c r="A20" s="23"/>
      <c r="B20" s="19" t="s">
        <v>49</v>
      </c>
      <c r="C20" s="19" t="s">
        <v>52</v>
      </c>
      <c r="D20" s="19" t="s">
        <v>19</v>
      </c>
      <c r="E20" s="19" t="s">
        <v>15</v>
      </c>
      <c r="F20" s="41">
        <v>43190</v>
      </c>
      <c r="G20" s="41">
        <v>43190</v>
      </c>
      <c r="H20" s="30">
        <v>133830</v>
      </c>
      <c r="I20" s="30">
        <v>15000</v>
      </c>
      <c r="J20" s="30">
        <v>118830</v>
      </c>
    </row>
    <row r="21" spans="1:10">
      <c r="A21" s="23"/>
      <c r="B21" s="19" t="s">
        <v>49</v>
      </c>
      <c r="C21" s="19" t="s">
        <v>52</v>
      </c>
      <c r="D21" s="19" t="s">
        <v>47</v>
      </c>
      <c r="E21" s="19" t="s">
        <v>46</v>
      </c>
      <c r="F21" s="41">
        <v>43799</v>
      </c>
      <c r="G21" s="41">
        <v>43799</v>
      </c>
      <c r="H21" s="22">
        <v>1253980</v>
      </c>
      <c r="I21" s="22">
        <v>134398</v>
      </c>
      <c r="J21" s="30">
        <f>H21-I21</f>
        <v>1119582</v>
      </c>
    </row>
    <row r="22" spans="1:10">
      <c r="A22" s="23"/>
      <c r="B22" s="19" t="s">
        <v>49</v>
      </c>
      <c r="C22" s="19" t="s">
        <v>52</v>
      </c>
      <c r="D22" s="19" t="s">
        <v>47</v>
      </c>
      <c r="E22" s="19" t="s">
        <v>48</v>
      </c>
      <c r="F22" s="41">
        <v>43830</v>
      </c>
      <c r="G22" s="41">
        <v>43830</v>
      </c>
      <c r="H22" s="30">
        <v>34650</v>
      </c>
      <c r="I22" s="30">
        <v>15000</v>
      </c>
      <c r="J22" s="30">
        <v>19650</v>
      </c>
    </row>
    <row r="23" spans="1:10">
      <c r="A23" s="23"/>
      <c r="B23" s="19" t="s">
        <v>49</v>
      </c>
      <c r="C23" s="19" t="s">
        <v>52</v>
      </c>
      <c r="D23" s="19" t="s">
        <v>47</v>
      </c>
      <c r="E23" s="19" t="s">
        <v>48</v>
      </c>
      <c r="F23" s="41">
        <v>43496</v>
      </c>
      <c r="G23" s="41">
        <v>43496</v>
      </c>
      <c r="H23" s="30">
        <v>70080</v>
      </c>
      <c r="I23" s="30">
        <v>15000</v>
      </c>
      <c r="J23" s="30">
        <v>55080</v>
      </c>
    </row>
    <row r="24" spans="1:10">
      <c r="A24" s="23"/>
      <c r="B24" s="19" t="s">
        <v>49</v>
      </c>
      <c r="C24" s="19" t="s">
        <v>52</v>
      </c>
      <c r="D24" s="19" t="s">
        <v>47</v>
      </c>
      <c r="E24" s="19" t="s">
        <v>48</v>
      </c>
      <c r="F24" s="41">
        <v>43496</v>
      </c>
      <c r="G24" s="41">
        <v>43496</v>
      </c>
      <c r="H24" s="30">
        <v>203600</v>
      </c>
      <c r="I24" s="30">
        <v>15000</v>
      </c>
      <c r="J24" s="30">
        <v>188600</v>
      </c>
    </row>
    <row r="25" spans="1:10">
      <c r="A25" s="23"/>
      <c r="B25" s="19" t="s">
        <v>49</v>
      </c>
      <c r="C25" s="19" t="s">
        <v>52</v>
      </c>
      <c r="D25" s="19" t="s">
        <v>47</v>
      </c>
      <c r="E25" s="19" t="s">
        <v>48</v>
      </c>
      <c r="F25" s="41">
        <v>43496</v>
      </c>
      <c r="G25" s="41">
        <v>43496</v>
      </c>
      <c r="H25" s="30">
        <v>38580</v>
      </c>
      <c r="I25" s="30">
        <v>15000</v>
      </c>
      <c r="J25" s="30">
        <v>23580</v>
      </c>
    </row>
    <row r="26" spans="1:10">
      <c r="A26" s="23"/>
      <c r="B26" s="19" t="s">
        <v>49</v>
      </c>
      <c r="C26" s="19" t="s">
        <v>52</v>
      </c>
      <c r="D26" s="19" t="s">
        <v>47</v>
      </c>
      <c r="E26" s="19" t="s">
        <v>48</v>
      </c>
      <c r="F26" s="41">
        <v>43616</v>
      </c>
      <c r="G26" s="41">
        <v>43616</v>
      </c>
      <c r="H26" s="30">
        <v>26940</v>
      </c>
      <c r="I26" s="30">
        <v>15000</v>
      </c>
      <c r="J26" s="30">
        <v>11940</v>
      </c>
    </row>
    <row r="27" spans="1:10">
      <c r="A27" s="23"/>
      <c r="B27" s="19" t="s">
        <v>49</v>
      </c>
      <c r="C27" s="19" t="s">
        <v>52</v>
      </c>
      <c r="D27" s="19" t="s">
        <v>47</v>
      </c>
      <c r="E27" s="19" t="s">
        <v>48</v>
      </c>
      <c r="F27" s="41">
        <v>43738</v>
      </c>
      <c r="G27" s="41">
        <v>43738</v>
      </c>
      <c r="H27" s="30">
        <v>130840</v>
      </c>
      <c r="I27" s="30">
        <v>15000</v>
      </c>
      <c r="J27" s="30">
        <v>115840</v>
      </c>
    </row>
    <row r="28" spans="1:10">
      <c r="A28" s="23"/>
      <c r="B28" s="19" t="s">
        <v>49</v>
      </c>
      <c r="C28" s="19" t="s">
        <v>52</v>
      </c>
      <c r="D28" s="19" t="s">
        <v>47</v>
      </c>
      <c r="E28" s="19" t="s">
        <v>48</v>
      </c>
      <c r="F28" s="41">
        <v>43830</v>
      </c>
      <c r="G28" s="41">
        <v>43830</v>
      </c>
      <c r="H28" s="30">
        <v>40000</v>
      </c>
      <c r="I28" s="30">
        <v>15000</v>
      </c>
      <c r="J28" s="30">
        <v>25000</v>
      </c>
    </row>
    <row r="29" spans="1:10">
      <c r="A29" s="23"/>
      <c r="B29" s="23"/>
      <c r="C29" s="23"/>
      <c r="D29" s="23"/>
      <c r="E29" s="23"/>
      <c r="F29" s="33"/>
      <c r="G29" s="33"/>
      <c r="H29" s="23"/>
      <c r="I29" s="23"/>
      <c r="J29" s="23"/>
    </row>
    <row r="30" spans="1:10">
      <c r="A30" s="23"/>
      <c r="B30" s="23" t="s">
        <v>89</v>
      </c>
      <c r="C30" s="23"/>
      <c r="D30" s="23"/>
      <c r="E30" s="23"/>
      <c r="F30" s="33"/>
      <c r="G30" s="33"/>
      <c r="H30" s="23"/>
      <c r="I30" s="23"/>
      <c r="J30" s="23"/>
    </row>
    <row r="31" spans="1:10">
      <c r="A31" s="23"/>
      <c r="B31" s="23" t="b">
        <f>AND(E3="통원",J3&lt;SMALL($J$3:$J$28,10),YEAR(F3)&lt;=2018)</f>
        <v>1</v>
      </c>
      <c r="C31" s="23"/>
      <c r="D31" s="23"/>
      <c r="E31" s="23"/>
      <c r="F31" s="33"/>
      <c r="G31" s="33"/>
      <c r="H31" s="23"/>
      <c r="I31" s="23"/>
      <c r="J31" s="23"/>
    </row>
    <row r="32" spans="1:10">
      <c r="A32" s="23"/>
      <c r="B32" s="23"/>
      <c r="C32" s="23"/>
      <c r="D32" s="23"/>
      <c r="E32" s="23"/>
      <c r="F32" s="33"/>
      <c r="G32" s="33"/>
      <c r="H32" s="23"/>
      <c r="I32" s="23"/>
      <c r="J32" s="23"/>
    </row>
    <row r="33" spans="1:10">
      <c r="A33" s="23"/>
      <c r="B33" s="25" t="s">
        <v>6</v>
      </c>
      <c r="C33" s="25" t="s">
        <v>9</v>
      </c>
      <c r="D33" s="26" t="s">
        <v>11</v>
      </c>
      <c r="E33" s="26" t="s">
        <v>45</v>
      </c>
      <c r="F33" s="26" t="s">
        <v>12</v>
      </c>
      <c r="G33" s="33"/>
      <c r="H33" s="23"/>
      <c r="I33" s="23"/>
      <c r="J33" s="23"/>
    </row>
    <row r="34" spans="1:10">
      <c r="A34" s="23"/>
      <c r="B34" s="19" t="s">
        <v>50</v>
      </c>
      <c r="C34" s="41">
        <v>42429</v>
      </c>
      <c r="D34" s="30">
        <v>46000</v>
      </c>
      <c r="E34" s="30">
        <v>46000</v>
      </c>
      <c r="F34" s="30">
        <v>0</v>
      </c>
      <c r="G34" s="33"/>
      <c r="H34" s="23"/>
      <c r="I34" s="23"/>
      <c r="J34" s="23"/>
    </row>
    <row r="35" spans="1:10">
      <c r="A35" s="23"/>
      <c r="B35" s="19" t="s">
        <v>52</v>
      </c>
      <c r="C35" s="41">
        <v>42766</v>
      </c>
      <c r="D35" s="30">
        <v>30600</v>
      </c>
      <c r="E35" s="30">
        <v>15300</v>
      </c>
      <c r="F35" s="30">
        <v>15300</v>
      </c>
      <c r="G35" s="33"/>
      <c r="H35" s="23"/>
      <c r="I35" s="23"/>
      <c r="J35" s="23"/>
    </row>
    <row r="36" spans="1:10">
      <c r="A36" s="23"/>
      <c r="B36" s="19" t="s">
        <v>50</v>
      </c>
      <c r="C36" s="41">
        <v>43131</v>
      </c>
      <c r="D36" s="30">
        <v>73200</v>
      </c>
      <c r="E36" s="30">
        <v>73200</v>
      </c>
      <c r="F36" s="30">
        <v>0</v>
      </c>
      <c r="G36" s="33"/>
      <c r="H36" s="23"/>
      <c r="I36" s="23"/>
      <c r="J36" s="23"/>
    </row>
    <row r="37" spans="1:10">
      <c r="A37" s="23"/>
      <c r="B37" s="19" t="s">
        <v>50</v>
      </c>
      <c r="C37" s="41">
        <v>43343</v>
      </c>
      <c r="D37" s="30">
        <v>23860</v>
      </c>
      <c r="E37" s="30">
        <v>20000</v>
      </c>
      <c r="F37" s="30">
        <v>3860</v>
      </c>
      <c r="G37" s="33"/>
      <c r="H37" s="23"/>
      <c r="I37" s="23"/>
      <c r="J37" s="23"/>
    </row>
    <row r="38" spans="1:10">
      <c r="A38" s="23"/>
      <c r="B38" s="19" t="s">
        <v>50</v>
      </c>
      <c r="C38" s="41">
        <v>43159</v>
      </c>
      <c r="D38" s="30">
        <v>20600</v>
      </c>
      <c r="E38" s="30">
        <v>20000</v>
      </c>
      <c r="F38" s="30">
        <v>600</v>
      </c>
      <c r="G38" s="33"/>
      <c r="H38" s="23"/>
      <c r="I38" s="23"/>
      <c r="J38" s="23"/>
    </row>
    <row r="39" spans="1:10">
      <c r="A39" s="23"/>
      <c r="B39" s="19" t="s">
        <v>50</v>
      </c>
      <c r="C39" s="41">
        <v>43159</v>
      </c>
      <c r="D39" s="30">
        <v>32310</v>
      </c>
      <c r="E39" s="30">
        <v>15000</v>
      </c>
      <c r="F39" s="30">
        <v>17310</v>
      </c>
      <c r="G39" s="33"/>
      <c r="H39" s="23"/>
      <c r="I39" s="23"/>
      <c r="J39" s="23"/>
    </row>
    <row r="40" spans="1:10">
      <c r="A40" s="23"/>
      <c r="B40" s="19" t="s">
        <v>52</v>
      </c>
      <c r="C40" s="41">
        <v>43159</v>
      </c>
      <c r="D40" s="30">
        <v>32310</v>
      </c>
      <c r="E40" s="30">
        <v>15000</v>
      </c>
      <c r="F40" s="30">
        <v>17310</v>
      </c>
      <c r="G40" s="33"/>
      <c r="H40" s="23"/>
      <c r="I40" s="23"/>
      <c r="J40" s="23"/>
    </row>
    <row r="41" spans="1:10">
      <c r="A41" s="23"/>
      <c r="B41" s="23"/>
      <c r="C41" s="23"/>
      <c r="D41" s="23"/>
      <c r="E41" s="23"/>
      <c r="F41" s="33"/>
      <c r="G41" s="33"/>
      <c r="H41" s="23"/>
      <c r="I41" s="23"/>
      <c r="J41" s="23"/>
    </row>
  </sheetData>
  <phoneticPr fontId="2" type="noConversion"/>
  <conditionalFormatting sqref="B3:J28">
    <cfRule type="expression" dxfId="1" priority="1">
      <formula>AND($I3&gt;AVERAGE($I$3:$I$28),$D3&lt;&gt;"모")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B1:M28"/>
  <sheetViews>
    <sheetView zoomScaleNormal="100" workbookViewId="0">
      <selection activeCell="H20" sqref="H20"/>
    </sheetView>
  </sheetViews>
  <sheetFormatPr defaultColWidth="9" defaultRowHeight="16.5"/>
  <cols>
    <col min="1" max="1" width="3.5" style="23" customWidth="1"/>
    <col min="2" max="5" width="10.25" style="23" customWidth="1"/>
    <col min="6" max="7" width="10.25" style="33" customWidth="1"/>
    <col min="8" max="10" width="10.25" style="23" customWidth="1"/>
    <col min="11" max="11" width="9" style="23"/>
    <col min="12" max="13" width="8.75" style="23" customWidth="1"/>
    <col min="14" max="16384" width="9" style="23"/>
  </cols>
  <sheetData>
    <row r="1" spans="2:13" s="16" customFormat="1" ht="12.75" customHeight="1">
      <c r="B1" s="17"/>
      <c r="C1" s="17"/>
      <c r="F1" s="18"/>
      <c r="G1" s="18"/>
      <c r="I1" s="20"/>
      <c r="J1" s="21"/>
      <c r="K1" s="40"/>
      <c r="L1" s="23"/>
      <c r="M1" s="23"/>
    </row>
    <row r="2" spans="2:13" s="18" customFormat="1" ht="16.5" customHeight="1">
      <c r="B2" s="52" t="s">
        <v>5</v>
      </c>
      <c r="C2" s="52" t="s">
        <v>6</v>
      </c>
      <c r="D2" s="52" t="s">
        <v>7</v>
      </c>
      <c r="E2" s="52" t="s">
        <v>44</v>
      </c>
      <c r="F2" s="52" t="s">
        <v>9</v>
      </c>
      <c r="G2" s="52" t="s">
        <v>10</v>
      </c>
      <c r="H2" s="53" t="s">
        <v>11</v>
      </c>
      <c r="I2" s="53" t="s">
        <v>45</v>
      </c>
      <c r="J2" s="53" t="s">
        <v>12</v>
      </c>
      <c r="L2" s="23"/>
      <c r="M2" s="23"/>
    </row>
    <row r="3" spans="2:13" ht="16.5" customHeight="1">
      <c r="B3" s="54" t="s">
        <v>49</v>
      </c>
      <c r="C3" s="54" t="s">
        <v>51</v>
      </c>
      <c r="D3" s="54" t="s">
        <v>18</v>
      </c>
      <c r="E3" s="54" t="s">
        <v>15</v>
      </c>
      <c r="F3" s="55">
        <v>43465</v>
      </c>
      <c r="G3" s="55">
        <v>43465</v>
      </c>
      <c r="H3" s="43">
        <v>79980</v>
      </c>
      <c r="I3" s="43">
        <v>36490</v>
      </c>
      <c r="J3" s="43">
        <v>43490</v>
      </c>
    </row>
    <row r="4" spans="2:13" ht="16.5" customHeight="1">
      <c r="B4" s="54" t="s">
        <v>49</v>
      </c>
      <c r="C4" s="54" t="s">
        <v>52</v>
      </c>
      <c r="D4" s="54" t="s">
        <v>19</v>
      </c>
      <c r="E4" s="54" t="s">
        <v>17</v>
      </c>
      <c r="F4" s="55">
        <v>42766</v>
      </c>
      <c r="G4" s="55">
        <v>43100</v>
      </c>
      <c r="H4" s="43">
        <v>151500</v>
      </c>
      <c r="I4" s="43">
        <f>H4-J4</f>
        <v>75750</v>
      </c>
      <c r="J4" s="43">
        <v>75750</v>
      </c>
    </row>
    <row r="5" spans="2:13" ht="16.5" customHeight="1">
      <c r="B5" s="54" t="s">
        <v>49</v>
      </c>
      <c r="C5" s="54" t="s">
        <v>52</v>
      </c>
      <c r="D5" s="54" t="s">
        <v>19</v>
      </c>
      <c r="E5" s="54" t="s">
        <v>15</v>
      </c>
      <c r="F5" s="55">
        <v>42766</v>
      </c>
      <c r="G5" s="55">
        <v>43100</v>
      </c>
      <c r="H5" s="43">
        <v>30600</v>
      </c>
      <c r="I5" s="43">
        <f>H5-J5</f>
        <v>15300</v>
      </c>
      <c r="J5" s="43">
        <v>15300</v>
      </c>
    </row>
    <row r="6" spans="2:13" ht="16.5" customHeight="1">
      <c r="B6" s="54" t="s">
        <v>49</v>
      </c>
      <c r="C6" s="54" t="s">
        <v>52</v>
      </c>
      <c r="D6" s="54" t="s">
        <v>19</v>
      </c>
      <c r="E6" s="54" t="s">
        <v>15</v>
      </c>
      <c r="F6" s="55">
        <v>42794</v>
      </c>
      <c r="G6" s="55">
        <v>42825</v>
      </c>
      <c r="H6" s="43">
        <v>223400</v>
      </c>
      <c r="I6" s="43">
        <f>H6-J6</f>
        <v>123700</v>
      </c>
      <c r="J6" s="43">
        <v>99700</v>
      </c>
    </row>
    <row r="7" spans="2:13" ht="16.5" customHeight="1">
      <c r="B7" s="54" t="s">
        <v>49</v>
      </c>
      <c r="C7" s="54" t="s">
        <v>52</v>
      </c>
      <c r="D7" s="54" t="s">
        <v>19</v>
      </c>
      <c r="E7" s="54" t="s">
        <v>17</v>
      </c>
      <c r="F7" s="55">
        <v>43131</v>
      </c>
      <c r="G7" s="55">
        <v>43465</v>
      </c>
      <c r="H7" s="43">
        <v>137100</v>
      </c>
      <c r="I7" s="43">
        <v>88000</v>
      </c>
      <c r="J7" s="43">
        <v>49100</v>
      </c>
    </row>
    <row r="8" spans="2:13" ht="16.5" customHeight="1">
      <c r="B8" s="54" t="s">
        <v>49</v>
      </c>
      <c r="C8" s="54" t="s">
        <v>52</v>
      </c>
      <c r="D8" s="54" t="s">
        <v>19</v>
      </c>
      <c r="E8" s="54" t="s">
        <v>15</v>
      </c>
      <c r="F8" s="55">
        <v>43159</v>
      </c>
      <c r="G8" s="55">
        <v>43159</v>
      </c>
      <c r="H8" s="43">
        <v>32310</v>
      </c>
      <c r="I8" s="43">
        <v>15000</v>
      </c>
      <c r="J8" s="43">
        <v>17310</v>
      </c>
    </row>
    <row r="9" spans="2:13" ht="16.5" customHeight="1">
      <c r="B9" s="54" t="s">
        <v>49</v>
      </c>
      <c r="C9" s="54" t="s">
        <v>52</v>
      </c>
      <c r="D9" s="54" t="s">
        <v>19</v>
      </c>
      <c r="E9" s="54" t="s">
        <v>15</v>
      </c>
      <c r="F9" s="55">
        <v>43190</v>
      </c>
      <c r="G9" s="55">
        <v>43190</v>
      </c>
      <c r="H9" s="43">
        <v>133830</v>
      </c>
      <c r="I9" s="43">
        <v>15000</v>
      </c>
      <c r="J9" s="43">
        <v>118830</v>
      </c>
    </row>
    <row r="10" spans="2:13" ht="16.5" customHeight="1">
      <c r="B10" s="54" t="s">
        <v>49</v>
      </c>
      <c r="C10" s="54" t="s">
        <v>52</v>
      </c>
      <c r="D10" s="54" t="s">
        <v>47</v>
      </c>
      <c r="E10" s="54" t="s">
        <v>46</v>
      </c>
      <c r="F10" s="55">
        <v>43799</v>
      </c>
      <c r="G10" s="55">
        <v>43799</v>
      </c>
      <c r="H10" s="37">
        <v>1253980</v>
      </c>
      <c r="I10" s="37">
        <v>134398</v>
      </c>
      <c r="J10" s="43">
        <f>H10-I10</f>
        <v>1119582</v>
      </c>
    </row>
    <row r="11" spans="2:13" ht="16.5" customHeight="1">
      <c r="B11" s="54" t="s">
        <v>49</v>
      </c>
      <c r="C11" s="54" t="s">
        <v>52</v>
      </c>
      <c r="D11" s="54" t="s">
        <v>47</v>
      </c>
      <c r="E11" s="54" t="s">
        <v>48</v>
      </c>
      <c r="F11" s="55">
        <v>43830</v>
      </c>
      <c r="G11" s="55">
        <v>43830</v>
      </c>
      <c r="H11" s="43">
        <v>34650</v>
      </c>
      <c r="I11" s="43">
        <v>15000</v>
      </c>
      <c r="J11" s="43">
        <v>19650</v>
      </c>
    </row>
    <row r="12" spans="2:13" ht="16.5" customHeight="1">
      <c r="B12" s="54" t="s">
        <v>49</v>
      </c>
      <c r="C12" s="54" t="s">
        <v>52</v>
      </c>
      <c r="D12" s="54" t="s">
        <v>47</v>
      </c>
      <c r="E12" s="54" t="s">
        <v>48</v>
      </c>
      <c r="F12" s="55">
        <v>43496</v>
      </c>
      <c r="G12" s="55">
        <v>43496</v>
      </c>
      <c r="H12" s="43">
        <v>70080</v>
      </c>
      <c r="I12" s="43">
        <v>15000</v>
      </c>
      <c r="J12" s="43">
        <v>55080</v>
      </c>
    </row>
    <row r="13" spans="2:13" ht="16.5" customHeight="1">
      <c r="B13" s="54" t="s">
        <v>49</v>
      </c>
      <c r="C13" s="54" t="s">
        <v>52</v>
      </c>
      <c r="D13" s="54" t="s">
        <v>47</v>
      </c>
      <c r="E13" s="54" t="s">
        <v>48</v>
      </c>
      <c r="F13" s="55">
        <v>43496</v>
      </c>
      <c r="G13" s="55">
        <v>43496</v>
      </c>
      <c r="H13" s="43">
        <v>203600</v>
      </c>
      <c r="I13" s="43">
        <v>15000</v>
      </c>
      <c r="J13" s="43">
        <v>188600</v>
      </c>
    </row>
    <row r="14" spans="2:13" ht="16.5" customHeight="1">
      <c r="B14" s="54" t="s">
        <v>49</v>
      </c>
      <c r="C14" s="54" t="s">
        <v>52</v>
      </c>
      <c r="D14" s="54" t="s">
        <v>47</v>
      </c>
      <c r="E14" s="54" t="s">
        <v>48</v>
      </c>
      <c r="F14" s="55">
        <v>43496</v>
      </c>
      <c r="G14" s="55">
        <v>43496</v>
      </c>
      <c r="H14" s="43">
        <v>38580</v>
      </c>
      <c r="I14" s="43">
        <v>15000</v>
      </c>
      <c r="J14" s="43">
        <v>23580</v>
      </c>
    </row>
    <row r="15" spans="2:13" ht="16.5" customHeight="1">
      <c r="B15" s="54" t="s">
        <v>49</v>
      </c>
      <c r="C15" s="54" t="s">
        <v>52</v>
      </c>
      <c r="D15" s="54" t="s">
        <v>47</v>
      </c>
      <c r="E15" s="54" t="s">
        <v>48</v>
      </c>
      <c r="F15" s="55">
        <v>43616</v>
      </c>
      <c r="G15" s="55">
        <v>43616</v>
      </c>
      <c r="H15" s="43">
        <v>26940</v>
      </c>
      <c r="I15" s="43">
        <v>15000</v>
      </c>
      <c r="J15" s="43">
        <v>11940</v>
      </c>
    </row>
    <row r="16" spans="2:13" ht="16.5" customHeight="1">
      <c r="B16" s="54" t="s">
        <v>49</v>
      </c>
      <c r="C16" s="54" t="s">
        <v>52</v>
      </c>
      <c r="D16" s="54" t="s">
        <v>47</v>
      </c>
      <c r="E16" s="54" t="s">
        <v>48</v>
      </c>
      <c r="F16" s="55">
        <v>43738</v>
      </c>
      <c r="G16" s="55">
        <v>43738</v>
      </c>
      <c r="H16" s="43">
        <v>130840</v>
      </c>
      <c r="I16" s="43">
        <v>15000</v>
      </c>
      <c r="J16" s="43">
        <v>115840</v>
      </c>
    </row>
    <row r="17" spans="2:10" ht="16.5" customHeight="1">
      <c r="B17" s="54" t="s">
        <v>49</v>
      </c>
      <c r="C17" s="54" t="s">
        <v>52</v>
      </c>
      <c r="D17" s="54" t="s">
        <v>47</v>
      </c>
      <c r="E17" s="54" t="s">
        <v>48</v>
      </c>
      <c r="F17" s="55">
        <v>43830</v>
      </c>
      <c r="G17" s="55">
        <v>43830</v>
      </c>
      <c r="H17" s="43">
        <v>40000</v>
      </c>
      <c r="I17" s="43">
        <v>15000</v>
      </c>
      <c r="J17" s="43">
        <v>25000</v>
      </c>
    </row>
    <row r="18" spans="2:10" ht="16.5" customHeight="1">
      <c r="B18" s="54" t="s">
        <v>49</v>
      </c>
      <c r="C18" s="54" t="s">
        <v>50</v>
      </c>
      <c r="D18" s="54" t="s">
        <v>16</v>
      </c>
      <c r="E18" s="54" t="s">
        <v>15</v>
      </c>
      <c r="F18" s="55">
        <v>42429</v>
      </c>
      <c r="G18" s="55">
        <v>42643</v>
      </c>
      <c r="H18" s="43">
        <v>46000</v>
      </c>
      <c r="I18" s="43">
        <f>H18-J18</f>
        <v>46000</v>
      </c>
      <c r="J18" s="43">
        <v>0</v>
      </c>
    </row>
    <row r="19" spans="2:10" ht="16.5" customHeight="1">
      <c r="B19" s="54" t="s">
        <v>49</v>
      </c>
      <c r="C19" s="54" t="s">
        <v>50</v>
      </c>
      <c r="D19" s="54" t="s">
        <v>16</v>
      </c>
      <c r="E19" s="54" t="s">
        <v>17</v>
      </c>
      <c r="F19" s="55">
        <v>42460</v>
      </c>
      <c r="G19" s="55">
        <v>42643</v>
      </c>
      <c r="H19" s="43">
        <v>19200</v>
      </c>
      <c r="I19" s="43">
        <f>H19-J19</f>
        <v>9600</v>
      </c>
      <c r="J19" s="43">
        <v>9600</v>
      </c>
    </row>
    <row r="20" spans="2:10" ht="16.5" customHeight="1">
      <c r="B20" s="54" t="s">
        <v>49</v>
      </c>
      <c r="C20" s="54" t="s">
        <v>50</v>
      </c>
      <c r="D20" s="54" t="s">
        <v>16</v>
      </c>
      <c r="E20" s="54" t="s">
        <v>15</v>
      </c>
      <c r="F20" s="55">
        <v>42400</v>
      </c>
      <c r="G20" s="55">
        <v>42735</v>
      </c>
      <c r="H20" s="43">
        <v>76200</v>
      </c>
      <c r="I20" s="43">
        <f>H20-J20</f>
        <v>38100</v>
      </c>
      <c r="J20" s="43">
        <v>38100</v>
      </c>
    </row>
    <row r="21" spans="2:10" ht="16.5" customHeight="1">
      <c r="B21" s="54" t="s">
        <v>49</v>
      </c>
      <c r="C21" s="54" t="s">
        <v>50</v>
      </c>
      <c r="D21" s="54" t="s">
        <v>16</v>
      </c>
      <c r="E21" s="54" t="s">
        <v>17</v>
      </c>
      <c r="F21" s="55">
        <v>42400</v>
      </c>
      <c r="G21" s="55">
        <v>42735</v>
      </c>
      <c r="H21" s="43">
        <v>236800</v>
      </c>
      <c r="I21" s="43">
        <f>H21-J21</f>
        <v>118400</v>
      </c>
      <c r="J21" s="43">
        <v>118400</v>
      </c>
    </row>
    <row r="22" spans="2:10" ht="16.5" customHeight="1">
      <c r="B22" s="54" t="s">
        <v>49</v>
      </c>
      <c r="C22" s="54" t="s">
        <v>50</v>
      </c>
      <c r="D22" s="54" t="s">
        <v>16</v>
      </c>
      <c r="E22" s="54" t="s">
        <v>15</v>
      </c>
      <c r="F22" s="55">
        <v>43131</v>
      </c>
      <c r="G22" s="55">
        <v>43465</v>
      </c>
      <c r="H22" s="43">
        <v>73200</v>
      </c>
      <c r="I22" s="43">
        <v>73200</v>
      </c>
      <c r="J22" s="43">
        <v>0</v>
      </c>
    </row>
    <row r="23" spans="2:10" ht="16.5" customHeight="1">
      <c r="B23" s="54" t="s">
        <v>49</v>
      </c>
      <c r="C23" s="54" t="s">
        <v>50</v>
      </c>
      <c r="D23" s="54" t="s">
        <v>16</v>
      </c>
      <c r="E23" s="54" t="s">
        <v>17</v>
      </c>
      <c r="F23" s="55">
        <v>43131</v>
      </c>
      <c r="G23" s="55">
        <v>43465</v>
      </c>
      <c r="H23" s="43">
        <v>199300</v>
      </c>
      <c r="I23" s="43">
        <v>96000</v>
      </c>
      <c r="J23" s="43">
        <v>103300</v>
      </c>
    </row>
    <row r="24" spans="2:10" ht="16.5" customHeight="1">
      <c r="B24" s="54" t="s">
        <v>49</v>
      </c>
      <c r="C24" s="54" t="s">
        <v>50</v>
      </c>
      <c r="D24" s="54" t="s">
        <v>16</v>
      </c>
      <c r="E24" s="54" t="s">
        <v>15</v>
      </c>
      <c r="F24" s="55">
        <v>43131</v>
      </c>
      <c r="G24" s="55">
        <v>43131</v>
      </c>
      <c r="H24" s="43">
        <v>90110</v>
      </c>
      <c r="I24" s="43">
        <v>20000</v>
      </c>
      <c r="J24" s="43">
        <v>70110</v>
      </c>
    </row>
    <row r="25" spans="2:10" ht="16.5" customHeight="1">
      <c r="B25" s="54" t="s">
        <v>49</v>
      </c>
      <c r="C25" s="54" t="s">
        <v>50</v>
      </c>
      <c r="D25" s="54" t="s">
        <v>16</v>
      </c>
      <c r="E25" s="54" t="s">
        <v>15</v>
      </c>
      <c r="F25" s="55">
        <v>43343</v>
      </c>
      <c r="G25" s="55">
        <v>43343</v>
      </c>
      <c r="H25" s="43">
        <v>23860</v>
      </c>
      <c r="I25" s="43">
        <v>20000</v>
      </c>
      <c r="J25" s="43">
        <v>3860</v>
      </c>
    </row>
    <row r="26" spans="2:10" ht="16.5" customHeight="1">
      <c r="B26" s="54" t="s">
        <v>49</v>
      </c>
      <c r="C26" s="54" t="s">
        <v>50</v>
      </c>
      <c r="D26" s="54" t="s">
        <v>16</v>
      </c>
      <c r="E26" s="54" t="s">
        <v>15</v>
      </c>
      <c r="F26" s="55">
        <v>43159</v>
      </c>
      <c r="G26" s="55">
        <v>43159</v>
      </c>
      <c r="H26" s="43">
        <v>20600</v>
      </c>
      <c r="I26" s="43">
        <v>20000</v>
      </c>
      <c r="J26" s="43">
        <v>600</v>
      </c>
    </row>
    <row r="27" spans="2:10" ht="16.5" customHeight="1">
      <c r="B27" s="54" t="s">
        <v>49</v>
      </c>
      <c r="C27" s="54" t="s">
        <v>50</v>
      </c>
      <c r="D27" s="54" t="s">
        <v>16</v>
      </c>
      <c r="E27" s="54" t="s">
        <v>15</v>
      </c>
      <c r="F27" s="55">
        <v>43159</v>
      </c>
      <c r="G27" s="55">
        <v>43159</v>
      </c>
      <c r="H27" s="43">
        <v>32310</v>
      </c>
      <c r="I27" s="43">
        <v>15000</v>
      </c>
      <c r="J27" s="43">
        <v>17310</v>
      </c>
    </row>
    <row r="28" spans="2:10" ht="16.5" customHeight="1">
      <c r="B28" s="54" t="s">
        <v>49</v>
      </c>
      <c r="C28" s="54" t="s">
        <v>50</v>
      </c>
      <c r="D28" s="54" t="s">
        <v>16</v>
      </c>
      <c r="E28" s="54" t="s">
        <v>15</v>
      </c>
      <c r="F28" s="55">
        <v>43190</v>
      </c>
      <c r="G28" s="55">
        <v>43190</v>
      </c>
      <c r="H28" s="43">
        <v>119330</v>
      </c>
      <c r="I28" s="43">
        <v>15000</v>
      </c>
      <c r="J28" s="43">
        <v>104330</v>
      </c>
    </row>
  </sheetData>
  <sortState xmlns:xlrd2="http://schemas.microsoft.com/office/spreadsheetml/2017/richdata2" ref="B3:J28">
    <sortCondition ref="C2"/>
  </sortState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4" orientation="portrait" r:id="rId1"/>
  <headerFooter>
    <oddFooter>&amp;C&amp;Ppage/&amp;Npage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B2:O38"/>
  <sheetViews>
    <sheetView zoomScaleNormal="100" workbookViewId="0"/>
  </sheetViews>
  <sheetFormatPr defaultColWidth="9" defaultRowHeight="16.5"/>
  <cols>
    <col min="1" max="1" width="4.25" style="23" customWidth="1"/>
    <col min="2" max="2" width="9" style="23"/>
    <col min="3" max="3" width="9.375" style="23" bestFit="1" customWidth="1"/>
    <col min="4" max="5" width="9" style="23"/>
    <col min="6" max="6" width="10.875" style="23" bestFit="1" customWidth="1"/>
    <col min="7" max="7" width="19.75" style="23" bestFit="1" customWidth="1"/>
    <col min="8" max="8" width="18.125" style="23" bestFit="1" customWidth="1"/>
    <col min="9" max="11" width="9" style="23"/>
    <col min="12" max="12" width="12.625" style="24" bestFit="1" customWidth="1"/>
    <col min="13" max="14" width="9.375" style="23" bestFit="1" customWidth="1"/>
    <col min="15" max="16384" width="9" style="23"/>
  </cols>
  <sheetData>
    <row r="2" spans="2:15">
      <c r="B2" s="23" t="s">
        <v>40</v>
      </c>
      <c r="K2" s="23" t="s">
        <v>41</v>
      </c>
    </row>
    <row r="3" spans="2:15">
      <c r="B3" s="25" t="s">
        <v>5</v>
      </c>
      <c r="C3" s="25" t="s">
        <v>13</v>
      </c>
      <c r="D3" s="25" t="s">
        <v>7</v>
      </c>
      <c r="E3" s="25" t="s">
        <v>8</v>
      </c>
      <c r="F3" s="26" t="s">
        <v>11</v>
      </c>
      <c r="G3" s="26" t="s">
        <v>21</v>
      </c>
      <c r="H3" s="26" t="s">
        <v>90</v>
      </c>
      <c r="K3" s="27" t="s">
        <v>22</v>
      </c>
      <c r="L3" s="28" t="s">
        <v>23</v>
      </c>
    </row>
    <row r="4" spans="2:15">
      <c r="B4" s="42" t="s">
        <v>53</v>
      </c>
      <c r="C4" s="42" t="str">
        <f>_xlfn.CONCAT(SUBSTITUTE(B4,MID(B4,2,1),"*")," 가족")</f>
        <v>고*현 가족</v>
      </c>
      <c r="D4" s="29" t="s">
        <v>14</v>
      </c>
      <c r="E4" s="29" t="s">
        <v>24</v>
      </c>
      <c r="F4" s="43">
        <v>21500</v>
      </c>
      <c r="G4" s="32">
        <f>IF(F4-VLOOKUP(E4,$K$4:$L$7,2,0)&lt;=0,"지급제외",F4-VLOOKUP(E4,$K$4:$L$7,2,0))</f>
        <v>11500</v>
      </c>
      <c r="H4" s="31" cm="1">
        <f t="array" ref="H4">fn지급금액(D4, F4)</f>
        <v>19350</v>
      </c>
      <c r="K4" s="29" t="s">
        <v>24</v>
      </c>
      <c r="L4" s="31">
        <v>10000</v>
      </c>
    </row>
    <row r="5" spans="2:15">
      <c r="B5" s="42" t="s">
        <v>54</v>
      </c>
      <c r="C5" s="42" t="str">
        <f t="shared" ref="C5:C38" si="0">_xlfn.CONCAT(SUBSTITUTE(B5,MID(B5,2,1),"*")," 가족")</f>
        <v>고*호 가족</v>
      </c>
      <c r="D5" s="29" t="s">
        <v>14</v>
      </c>
      <c r="E5" s="29" t="s">
        <v>25</v>
      </c>
      <c r="F5" s="43">
        <v>15900</v>
      </c>
      <c r="G5" s="32">
        <f t="shared" ref="G5:G38" si="1">IF(F5-VLOOKUP(E5,$K$4:$L$7,2,0)&lt;=0,"지급제외",F5-VLOOKUP(E5,$K$4:$L$7,2,0))</f>
        <v>900</v>
      </c>
      <c r="H5" s="31" cm="1">
        <f t="array" ref="H5">fn지급금액(D5, F5)</f>
        <v>14310</v>
      </c>
      <c r="K5" s="29" t="s">
        <v>25</v>
      </c>
      <c r="L5" s="31">
        <v>15000</v>
      </c>
    </row>
    <row r="6" spans="2:15">
      <c r="B6" s="42" t="s">
        <v>55</v>
      </c>
      <c r="C6" s="42" t="str">
        <f t="shared" si="0"/>
        <v>권*석 가족</v>
      </c>
      <c r="D6" s="29" t="s">
        <v>14</v>
      </c>
      <c r="E6" s="29" t="s">
        <v>26</v>
      </c>
      <c r="F6" s="43">
        <v>24960</v>
      </c>
      <c r="G6" s="32">
        <f t="shared" si="1"/>
        <v>4960</v>
      </c>
      <c r="H6" s="31" cm="1">
        <f t="array" ref="H6">fn지급금액(D6, F6)</f>
        <v>22464</v>
      </c>
      <c r="K6" s="29" t="s">
        <v>26</v>
      </c>
      <c r="L6" s="31">
        <v>20000</v>
      </c>
    </row>
    <row r="7" spans="2:15">
      <c r="B7" s="42" t="s">
        <v>56</v>
      </c>
      <c r="C7" s="42" t="str">
        <f t="shared" si="0"/>
        <v>김*웅 가족</v>
      </c>
      <c r="D7" s="29" t="s">
        <v>16</v>
      </c>
      <c r="E7" s="29" t="s">
        <v>27</v>
      </c>
      <c r="F7" s="43">
        <v>62300</v>
      </c>
      <c r="G7" s="32">
        <f t="shared" si="1"/>
        <v>54300</v>
      </c>
      <c r="H7" s="31" cm="1">
        <f t="array" ref="H7">fn지급금액(D7, F7)</f>
        <v>31150</v>
      </c>
      <c r="K7" s="29" t="s">
        <v>27</v>
      </c>
      <c r="L7" s="31">
        <v>8000</v>
      </c>
    </row>
    <row r="8" spans="2:15">
      <c r="B8" s="42" t="s">
        <v>57</v>
      </c>
      <c r="C8" s="42" t="str">
        <f t="shared" si="0"/>
        <v>김*현 가족</v>
      </c>
      <c r="D8" s="29" t="s">
        <v>16</v>
      </c>
      <c r="E8" s="29" t="s">
        <v>24</v>
      </c>
      <c r="F8" s="43">
        <v>161200</v>
      </c>
      <c r="G8" s="32">
        <f t="shared" si="1"/>
        <v>151200</v>
      </c>
      <c r="H8" s="31" cm="1">
        <f t="array" ref="H8">fn지급금액(D8, F8)</f>
        <v>80600</v>
      </c>
    </row>
    <row r="9" spans="2:15">
      <c r="B9" s="42" t="s">
        <v>58</v>
      </c>
      <c r="C9" s="42" t="str">
        <f t="shared" si="0"/>
        <v>김*환 가족</v>
      </c>
      <c r="D9" s="29" t="s">
        <v>16</v>
      </c>
      <c r="E9" s="29" t="s">
        <v>25</v>
      </c>
      <c r="F9" s="43">
        <v>208100</v>
      </c>
      <c r="G9" s="32">
        <f t="shared" si="1"/>
        <v>193100</v>
      </c>
      <c r="H9" s="31" cm="1">
        <f t="array" ref="H9">fn지급금액(D9, F9)</f>
        <v>104050</v>
      </c>
    </row>
    <row r="10" spans="2:15">
      <c r="B10" s="42" t="s">
        <v>59</v>
      </c>
      <c r="C10" s="42" t="str">
        <f t="shared" si="0"/>
        <v>김*종 가족</v>
      </c>
      <c r="D10" s="29" t="s">
        <v>20</v>
      </c>
      <c r="E10" s="29" t="s">
        <v>27</v>
      </c>
      <c r="F10" s="43">
        <v>7200</v>
      </c>
      <c r="G10" s="32" t="str">
        <f t="shared" si="1"/>
        <v>지급제외</v>
      </c>
      <c r="H10" s="31" cm="1">
        <f t="array" ref="H10">fn지급금액(D10, F10)</f>
        <v>6480</v>
      </c>
    </row>
    <row r="11" spans="2:15">
      <c r="B11" s="42" t="s">
        <v>60</v>
      </c>
      <c r="C11" s="42" t="str">
        <f t="shared" si="0"/>
        <v>김*홍 가족</v>
      </c>
      <c r="D11" s="29" t="s">
        <v>20</v>
      </c>
      <c r="E11" s="29" t="s">
        <v>28</v>
      </c>
      <c r="F11" s="43">
        <v>3200</v>
      </c>
      <c r="G11" s="32" t="str">
        <f t="shared" si="1"/>
        <v>지급제외</v>
      </c>
      <c r="H11" s="31" cm="1">
        <f t="array" ref="H11">fn지급금액(D11, F11)</f>
        <v>2880</v>
      </c>
      <c r="K11" s="23" t="s">
        <v>42</v>
      </c>
    </row>
    <row r="12" spans="2:15">
      <c r="B12" s="42" t="s">
        <v>61</v>
      </c>
      <c r="C12" s="42" t="str">
        <f t="shared" si="0"/>
        <v>김*섭 가족</v>
      </c>
      <c r="D12" s="29" t="s">
        <v>18</v>
      </c>
      <c r="E12" s="29" t="s">
        <v>29</v>
      </c>
      <c r="F12" s="43">
        <v>41000</v>
      </c>
      <c r="G12" s="32">
        <f t="shared" si="1"/>
        <v>31000</v>
      </c>
      <c r="H12" s="31" cm="1">
        <f t="array" ref="H12">fn지급금액(D12, F12)</f>
        <v>36900</v>
      </c>
      <c r="K12" s="29"/>
      <c r="L12" s="32" t="s">
        <v>29</v>
      </c>
      <c r="M12" s="29" t="s">
        <v>30</v>
      </c>
      <c r="N12" s="29" t="s">
        <v>31</v>
      </c>
      <c r="O12" s="29" t="s">
        <v>28</v>
      </c>
    </row>
    <row r="13" spans="2:15">
      <c r="B13" s="42" t="s">
        <v>62</v>
      </c>
      <c r="C13" s="42" t="str">
        <f t="shared" si="0"/>
        <v>김*수 가족</v>
      </c>
      <c r="D13" s="29" t="s">
        <v>18</v>
      </c>
      <c r="E13" s="29" t="s">
        <v>30</v>
      </c>
      <c r="F13" s="43">
        <v>19700</v>
      </c>
      <c r="G13" s="32">
        <f t="shared" si="1"/>
        <v>4700</v>
      </c>
      <c r="H13" s="31" cm="1">
        <f t="array" ref="H13">fn지급금액(D13, F13)</f>
        <v>17730</v>
      </c>
      <c r="K13" s="29" t="s">
        <v>32</v>
      </c>
      <c r="L13" s="32" t="str">
        <f t="array" ref="L13">TEXT(SUM(($D$4:$D$38=$K13)*($E$4:$E$38=L$12)),"0건")</f>
        <v>0건</v>
      </c>
      <c r="M13" s="32" t="str">
        <f t="array" ref="M13">TEXT(SUM(($D$4:$D$38=$K13)*($E$4:$E$38=M$12)),"0건")</f>
        <v>3건</v>
      </c>
      <c r="N13" s="32" t="str">
        <f t="array" ref="N13">TEXT(SUM(($D$4:$D$38=$K13)*($E$4:$E$38=N$12)),"0건")</f>
        <v>1건</v>
      </c>
      <c r="O13" s="32" t="str">
        <f t="array" ref="O13">TEXT(SUM(($D$4:$D$38=$K13)*($E$4:$E$38=O$12)),"0건")</f>
        <v>1건</v>
      </c>
    </row>
    <row r="14" spans="2:15">
      <c r="B14" s="42" t="s">
        <v>63</v>
      </c>
      <c r="C14" s="42" t="str">
        <f t="shared" si="0"/>
        <v>김*솔 가족</v>
      </c>
      <c r="D14" s="29" t="s">
        <v>18</v>
      </c>
      <c r="E14" s="29" t="s">
        <v>31</v>
      </c>
      <c r="F14" s="43">
        <v>16700</v>
      </c>
      <c r="G14" s="32" t="str">
        <f t="shared" si="1"/>
        <v>지급제외</v>
      </c>
      <c r="H14" s="31" cm="1">
        <f t="array" ref="H14">fn지급금액(D14, F14)</f>
        <v>15030</v>
      </c>
      <c r="K14" s="29" t="s">
        <v>33</v>
      </c>
      <c r="L14" s="32" t="str">
        <f t="array" ref="L14">TEXT(SUM(($D$4:$D$38=$K14)*($E$4:$E$38=L$12)),"0건")</f>
        <v>2건</v>
      </c>
      <c r="M14" s="32" t="str">
        <f t="array" ref="M14">TEXT(SUM(($D$4:$D$38=$K14)*($E$4:$E$38=M$12)),"0건")</f>
        <v>1건</v>
      </c>
      <c r="N14" s="32" t="str">
        <f t="array" ref="N14">TEXT(SUM(($D$4:$D$38=$K14)*($E$4:$E$38=N$12)),"0건")</f>
        <v>0건</v>
      </c>
      <c r="O14" s="32" t="str">
        <f t="array" ref="O14">TEXT(SUM(($D$4:$D$38=$K14)*($E$4:$E$38=O$12)),"0건")</f>
        <v>3건</v>
      </c>
    </row>
    <row r="15" spans="2:15">
      <c r="B15" s="42" t="s">
        <v>64</v>
      </c>
      <c r="C15" s="42" t="str">
        <f t="shared" si="0"/>
        <v>문*준 가족</v>
      </c>
      <c r="D15" s="29" t="s">
        <v>34</v>
      </c>
      <c r="E15" s="29" t="s">
        <v>28</v>
      </c>
      <c r="F15" s="43">
        <v>46000</v>
      </c>
      <c r="G15" s="32">
        <f t="shared" si="1"/>
        <v>38000</v>
      </c>
      <c r="H15" s="31" cm="1">
        <f t="array" ref="H15">fn지급금액(D15, F15)</f>
        <v>41400</v>
      </c>
      <c r="K15" s="29" t="s">
        <v>35</v>
      </c>
      <c r="L15" s="32" t="str">
        <f t="array" ref="L15">TEXT(SUM(($D$4:$D$38=$K15)*($E$4:$E$38=L$12)),"0건")</f>
        <v>0건</v>
      </c>
      <c r="M15" s="32" t="str">
        <f t="array" ref="M15">TEXT(SUM(($D$4:$D$38=$K15)*($E$4:$E$38=M$12)),"0건")</f>
        <v>2건</v>
      </c>
      <c r="N15" s="32" t="str">
        <f t="array" ref="N15">TEXT(SUM(($D$4:$D$38=$K15)*($E$4:$E$38=N$12)),"0건")</f>
        <v>0건</v>
      </c>
      <c r="O15" s="32" t="str">
        <f t="array" ref="O15">TEXT(SUM(($D$4:$D$38=$K15)*($E$4:$E$38=O$12)),"0건")</f>
        <v>2건</v>
      </c>
    </row>
    <row r="16" spans="2:15">
      <c r="B16" s="42" t="s">
        <v>65</v>
      </c>
      <c r="C16" s="42" t="str">
        <f t="shared" si="0"/>
        <v>박*훈 가족</v>
      </c>
      <c r="D16" s="29" t="s">
        <v>34</v>
      </c>
      <c r="E16" s="29" t="s">
        <v>29</v>
      </c>
      <c r="F16" s="43">
        <v>19200</v>
      </c>
      <c r="G16" s="32">
        <f t="shared" si="1"/>
        <v>9200</v>
      </c>
      <c r="H16" s="31" cm="1">
        <f t="array" ref="H16">fn지급금액(D16, F16)</f>
        <v>17280</v>
      </c>
      <c r="K16" s="29" t="s">
        <v>36</v>
      </c>
      <c r="L16" s="32" t="str">
        <f t="array" ref="L16">TEXT(SUM(($D$4:$D$38=$K16)*($E$4:$E$38=L$12)),"0건")</f>
        <v>2건</v>
      </c>
      <c r="M16" s="32" t="str">
        <f t="array" ref="M16">TEXT(SUM(($D$4:$D$38=$K16)*($E$4:$E$38=M$12)),"0건")</f>
        <v>2건</v>
      </c>
      <c r="N16" s="32" t="str">
        <f t="array" ref="N16">TEXT(SUM(($D$4:$D$38=$K16)*($E$4:$E$38=N$12)),"0건")</f>
        <v>2건</v>
      </c>
      <c r="O16" s="32" t="str">
        <f t="array" ref="O16">TEXT(SUM(($D$4:$D$38=$K16)*($E$4:$E$38=O$12)),"0건")</f>
        <v>0건</v>
      </c>
    </row>
    <row r="17" spans="2:15">
      <c r="B17" s="42" t="s">
        <v>66</v>
      </c>
      <c r="C17" s="42" t="str">
        <f t="shared" si="0"/>
        <v>박*진 가족</v>
      </c>
      <c r="D17" s="29" t="s">
        <v>34</v>
      </c>
      <c r="E17" s="29" t="s">
        <v>30</v>
      </c>
      <c r="F17" s="43">
        <v>76200</v>
      </c>
      <c r="G17" s="32">
        <f t="shared" si="1"/>
        <v>61200</v>
      </c>
      <c r="H17" s="31" cm="1">
        <f t="array" ref="H17">fn지급금액(D17, F17)</f>
        <v>68580</v>
      </c>
      <c r="K17" s="29" t="s">
        <v>37</v>
      </c>
      <c r="L17" s="32" t="str">
        <f t="array" ref="L17">TEXT(SUM(($D$4:$D$38=$K17)*($E$4:$E$38=L$12)),"0건")</f>
        <v>2건</v>
      </c>
      <c r="M17" s="32" t="str">
        <f t="array" ref="M17">TEXT(SUM(($D$4:$D$38=$K17)*($E$4:$E$38=M$12)),"0건")</f>
        <v>2건</v>
      </c>
      <c r="N17" s="32" t="str">
        <f t="array" ref="N17">TEXT(SUM(($D$4:$D$38=$K17)*($E$4:$E$38=N$12)),"0건")</f>
        <v>2건</v>
      </c>
      <c r="O17" s="32" t="str">
        <f t="array" ref="O17">TEXT(SUM(($D$4:$D$38=$K17)*($E$4:$E$38=O$12)),"0건")</f>
        <v>0건</v>
      </c>
    </row>
    <row r="18" spans="2:15">
      <c r="B18" s="42" t="s">
        <v>67</v>
      </c>
      <c r="C18" s="42" t="str">
        <f t="shared" si="0"/>
        <v>박*현 가족</v>
      </c>
      <c r="D18" s="29" t="s">
        <v>34</v>
      </c>
      <c r="E18" s="29" t="s">
        <v>31</v>
      </c>
      <c r="F18" s="43">
        <v>236800</v>
      </c>
      <c r="G18" s="32">
        <f t="shared" si="1"/>
        <v>216800</v>
      </c>
      <c r="H18" s="31" cm="1">
        <f t="array" ref="H18">fn지급금액(D18, F18)</f>
        <v>213120</v>
      </c>
      <c r="K18" s="29" t="s">
        <v>34</v>
      </c>
      <c r="L18" s="32" t="str">
        <f t="array" ref="L18">TEXT(SUM(($D$4:$D$38=$K18)*($E$4:$E$38=L$12)),"0건")</f>
        <v>2건</v>
      </c>
      <c r="M18" s="32" t="str">
        <f t="array" ref="M18">TEXT(SUM(($D$4:$D$38=$K18)*($E$4:$E$38=M$12)),"0건")</f>
        <v>2건</v>
      </c>
      <c r="N18" s="32" t="str">
        <f t="array" ref="N18">TEXT(SUM(($D$4:$D$38=$K18)*($E$4:$E$38=N$12)),"0건")</f>
        <v>2건</v>
      </c>
      <c r="O18" s="32" t="str">
        <f t="array" ref="O18">TEXT(SUM(($D$4:$D$38=$K18)*($E$4:$E$38=O$12)),"0건")</f>
        <v>2건</v>
      </c>
    </row>
    <row r="19" spans="2:15">
      <c r="B19" s="42" t="s">
        <v>68</v>
      </c>
      <c r="C19" s="42" t="str">
        <f t="shared" si="0"/>
        <v>박*석 가족</v>
      </c>
      <c r="D19" s="29" t="s">
        <v>19</v>
      </c>
      <c r="E19" s="29" t="s">
        <v>31</v>
      </c>
      <c r="F19" s="43">
        <v>151500</v>
      </c>
      <c r="G19" s="32">
        <f t="shared" si="1"/>
        <v>131500</v>
      </c>
      <c r="H19" s="31" cm="1">
        <f t="array" ref="H19">fn지급금액(D19, F19)</f>
        <v>75750</v>
      </c>
      <c r="K19" s="33"/>
      <c r="L19" s="34"/>
      <c r="M19" s="34"/>
      <c r="N19" s="34"/>
      <c r="O19" s="34"/>
    </row>
    <row r="20" spans="2:15">
      <c r="B20" s="42" t="s">
        <v>69</v>
      </c>
      <c r="C20" s="42" t="str">
        <f t="shared" si="0"/>
        <v>배*현 가족</v>
      </c>
      <c r="D20" s="29" t="s">
        <v>19</v>
      </c>
      <c r="E20" s="35" t="s">
        <v>38</v>
      </c>
      <c r="F20" s="43">
        <v>30600</v>
      </c>
      <c r="G20" s="32">
        <f t="shared" si="1"/>
        <v>15600</v>
      </c>
      <c r="H20" s="31" cm="1">
        <f t="array" ref="H20">fn지급금액(D20, F20)</f>
        <v>15300</v>
      </c>
      <c r="K20" s="33"/>
      <c r="L20" s="34"/>
      <c r="M20" s="34"/>
      <c r="N20" s="34"/>
      <c r="O20" s="34"/>
    </row>
    <row r="21" spans="2:15">
      <c r="B21" s="42" t="s">
        <v>70</v>
      </c>
      <c r="C21" s="42" t="str">
        <f t="shared" si="0"/>
        <v>송*철 가족</v>
      </c>
      <c r="D21" s="29" t="s">
        <v>19</v>
      </c>
      <c r="E21" s="35" t="s">
        <v>38</v>
      </c>
      <c r="F21" s="43">
        <v>223400</v>
      </c>
      <c r="G21" s="32">
        <f t="shared" si="1"/>
        <v>208400</v>
      </c>
      <c r="H21" s="31" cm="1">
        <f t="array" ref="H21">fn지급금액(D21, F21)</f>
        <v>111700</v>
      </c>
      <c r="K21" s="36" t="s">
        <v>43</v>
      </c>
    </row>
    <row r="22" spans="2:15">
      <c r="B22" s="42" t="s">
        <v>71</v>
      </c>
      <c r="C22" s="42" t="str">
        <f t="shared" si="0"/>
        <v>신*나 가족</v>
      </c>
      <c r="D22" s="29" t="s">
        <v>14</v>
      </c>
      <c r="E22" s="29" t="s">
        <v>29</v>
      </c>
      <c r="F22" s="44">
        <v>254000</v>
      </c>
      <c r="G22" s="32">
        <f t="shared" si="1"/>
        <v>244000</v>
      </c>
      <c r="H22" s="31" cm="1">
        <f t="array" ref="H22">fn지급금액(D22, F22)</f>
        <v>228600</v>
      </c>
      <c r="K22" s="56" t="s">
        <v>39</v>
      </c>
      <c r="L22" s="56"/>
      <c r="M22" s="56"/>
      <c r="N22" s="37" cm="1">
        <f t="array" ref="N22">AVERAGE(IF(F4:F38&gt;=_xlfn.PERCENTILE.INC(F4:F38,0.5),F4:F38))</f>
        <v>119146.66666666667</v>
      </c>
      <c r="O22" s="38"/>
    </row>
    <row r="23" spans="2:15">
      <c r="B23" s="42" t="s">
        <v>72</v>
      </c>
      <c r="C23" s="42" t="str">
        <f t="shared" si="0"/>
        <v>심*섭 가족</v>
      </c>
      <c r="D23" s="29" t="s">
        <v>14</v>
      </c>
      <c r="E23" s="29" t="s">
        <v>30</v>
      </c>
      <c r="F23" s="44">
        <v>35000</v>
      </c>
      <c r="G23" s="32">
        <f t="shared" si="1"/>
        <v>20000</v>
      </c>
      <c r="H23" s="31" cm="1">
        <f t="array" ref="H23">fn지급금액(D23, F23)</f>
        <v>31500</v>
      </c>
      <c r="K23" s="39"/>
      <c r="M23" s="24"/>
      <c r="N23" s="24"/>
    </row>
    <row r="24" spans="2:15">
      <c r="B24" s="42" t="s">
        <v>73</v>
      </c>
      <c r="C24" s="42" t="str">
        <f t="shared" si="0"/>
        <v>원*연 가족</v>
      </c>
      <c r="D24" s="29" t="s">
        <v>14</v>
      </c>
      <c r="E24" s="29" t="s">
        <v>31</v>
      </c>
      <c r="F24" s="44">
        <v>13300</v>
      </c>
      <c r="G24" s="32" t="str">
        <f t="shared" si="1"/>
        <v>지급제외</v>
      </c>
      <c r="H24" s="31" cm="1">
        <f t="array" ref="H24">fn지급금액(D24, F24)</f>
        <v>11970</v>
      </c>
      <c r="K24" s="39"/>
      <c r="M24" s="24"/>
      <c r="N24" s="24"/>
    </row>
    <row r="25" spans="2:15">
      <c r="B25" s="42" t="s">
        <v>74</v>
      </c>
      <c r="C25" s="42" t="str">
        <f t="shared" si="0"/>
        <v>윤*건 가족</v>
      </c>
      <c r="D25" s="29" t="s">
        <v>16</v>
      </c>
      <c r="E25" s="29" t="s">
        <v>28</v>
      </c>
      <c r="F25" s="44">
        <v>140900</v>
      </c>
      <c r="G25" s="32">
        <f t="shared" si="1"/>
        <v>132900</v>
      </c>
      <c r="H25" s="31" cm="1">
        <f t="array" ref="H25">fn지급금액(D25, F25)</f>
        <v>70450</v>
      </c>
    </row>
    <row r="26" spans="2:15">
      <c r="B26" s="42" t="s">
        <v>75</v>
      </c>
      <c r="C26" s="42" t="str">
        <f t="shared" si="0"/>
        <v>윤* 가족</v>
      </c>
      <c r="D26" s="29" t="s">
        <v>16</v>
      </c>
      <c r="E26" s="29" t="s">
        <v>29</v>
      </c>
      <c r="F26" s="44">
        <v>52800</v>
      </c>
      <c r="G26" s="32">
        <f t="shared" si="1"/>
        <v>42800</v>
      </c>
      <c r="H26" s="31" cm="1">
        <f t="array" ref="H26">fn지급금액(D26, F26)</f>
        <v>26400</v>
      </c>
    </row>
    <row r="27" spans="2:15">
      <c r="B27" s="42" t="s">
        <v>76</v>
      </c>
      <c r="C27" s="42" t="str">
        <f t="shared" si="0"/>
        <v>이*호 가족</v>
      </c>
      <c r="D27" s="29" t="s">
        <v>16</v>
      </c>
      <c r="E27" s="29" t="s">
        <v>28</v>
      </c>
      <c r="F27" s="44">
        <v>6000</v>
      </c>
      <c r="G27" s="32" t="str">
        <f t="shared" si="1"/>
        <v>지급제외</v>
      </c>
      <c r="H27" s="31" cm="1">
        <f t="array" ref="H27">fn지급금액(D27, F27)</f>
        <v>3000</v>
      </c>
      <c r="L27" s="23"/>
    </row>
    <row r="28" spans="2:15">
      <c r="B28" s="42" t="s">
        <v>77</v>
      </c>
      <c r="C28" s="42" t="str">
        <f t="shared" si="0"/>
        <v>이*일 가족</v>
      </c>
      <c r="D28" s="29" t="s">
        <v>20</v>
      </c>
      <c r="E28" s="29" t="s">
        <v>30</v>
      </c>
      <c r="F28" s="44">
        <v>17500</v>
      </c>
      <c r="G28" s="32">
        <f t="shared" si="1"/>
        <v>2500</v>
      </c>
      <c r="H28" s="31" cm="1">
        <f t="array" ref="H28">fn지급금액(D28, F28)</f>
        <v>15750</v>
      </c>
      <c r="L28" s="23"/>
    </row>
    <row r="29" spans="2:15">
      <c r="B29" s="42" t="s">
        <v>78</v>
      </c>
      <c r="C29" s="42" t="str">
        <f t="shared" si="0"/>
        <v>이*현 가족</v>
      </c>
      <c r="D29" s="29" t="s">
        <v>20</v>
      </c>
      <c r="E29" s="29" t="s">
        <v>30</v>
      </c>
      <c r="F29" s="44">
        <v>120000</v>
      </c>
      <c r="G29" s="32">
        <f t="shared" si="1"/>
        <v>105000</v>
      </c>
      <c r="H29" s="31" cm="1">
        <f t="array" ref="H29">fn지급금액(D29, F29)</f>
        <v>108000</v>
      </c>
      <c r="L29" s="23"/>
    </row>
    <row r="30" spans="2:15">
      <c r="B30" s="42" t="s">
        <v>79</v>
      </c>
      <c r="C30" s="42" t="str">
        <f t="shared" si="0"/>
        <v>이*영 가족</v>
      </c>
      <c r="D30" s="29" t="s">
        <v>18</v>
      </c>
      <c r="E30" s="29" t="s">
        <v>29</v>
      </c>
      <c r="F30" s="44">
        <v>74640</v>
      </c>
      <c r="G30" s="32">
        <f t="shared" si="1"/>
        <v>64640</v>
      </c>
      <c r="H30" s="31" cm="1">
        <f t="array" ref="H30">fn지급금액(D30, F30)</f>
        <v>67176</v>
      </c>
      <c r="L30" s="23"/>
    </row>
    <row r="31" spans="2:15">
      <c r="B31" s="42" t="s">
        <v>80</v>
      </c>
      <c r="C31" s="42" t="str">
        <f t="shared" si="0"/>
        <v>이*섭 가족</v>
      </c>
      <c r="D31" s="29" t="s">
        <v>18</v>
      </c>
      <c r="E31" s="29" t="s">
        <v>30</v>
      </c>
      <c r="F31" s="44">
        <v>41800</v>
      </c>
      <c r="G31" s="32">
        <f t="shared" si="1"/>
        <v>26800</v>
      </c>
      <c r="H31" s="31" cm="1">
        <f t="array" ref="H31">fn지급금액(D31, F31)</f>
        <v>37620</v>
      </c>
      <c r="L31" s="23"/>
    </row>
    <row r="32" spans="2:15">
      <c r="B32" s="42" t="s">
        <v>81</v>
      </c>
      <c r="C32" s="42" t="str">
        <f t="shared" si="0"/>
        <v>이*찬 가족</v>
      </c>
      <c r="D32" s="29" t="s">
        <v>18</v>
      </c>
      <c r="E32" s="29" t="s">
        <v>31</v>
      </c>
      <c r="F32" s="44">
        <v>57000</v>
      </c>
      <c r="G32" s="32">
        <f t="shared" si="1"/>
        <v>37000</v>
      </c>
      <c r="H32" s="31" cm="1">
        <f t="array" ref="H32">fn지급금액(D32, F32)</f>
        <v>51300</v>
      </c>
    </row>
    <row r="33" spans="2:8">
      <c r="B33" s="42" t="s">
        <v>82</v>
      </c>
      <c r="C33" s="42" t="str">
        <f t="shared" si="0"/>
        <v>임*섭 가족</v>
      </c>
      <c r="D33" s="29" t="s">
        <v>34</v>
      </c>
      <c r="E33" s="29" t="s">
        <v>28</v>
      </c>
      <c r="F33" s="44">
        <v>117000</v>
      </c>
      <c r="G33" s="32">
        <f t="shared" si="1"/>
        <v>109000</v>
      </c>
      <c r="H33" s="31" cm="1">
        <f t="array" ref="H33">fn지급금액(D33, F33)</f>
        <v>105300</v>
      </c>
    </row>
    <row r="34" spans="2:8">
      <c r="B34" s="42" t="s">
        <v>83</v>
      </c>
      <c r="C34" s="42" t="str">
        <f t="shared" si="0"/>
        <v>임*운 가족</v>
      </c>
      <c r="D34" s="29" t="s">
        <v>34</v>
      </c>
      <c r="E34" s="29" t="s">
        <v>29</v>
      </c>
      <c r="F34" s="44">
        <v>22050</v>
      </c>
      <c r="G34" s="32">
        <f t="shared" si="1"/>
        <v>12050</v>
      </c>
      <c r="H34" s="31" cm="1">
        <f t="array" ref="H34">fn지급금액(D34, F34)</f>
        <v>19845</v>
      </c>
    </row>
    <row r="35" spans="2:8">
      <c r="B35" s="42" t="s">
        <v>84</v>
      </c>
      <c r="C35" s="42" t="str">
        <f t="shared" si="0"/>
        <v>전*연 가족</v>
      </c>
      <c r="D35" s="29" t="s">
        <v>34</v>
      </c>
      <c r="E35" s="29" t="s">
        <v>30</v>
      </c>
      <c r="F35" s="44">
        <v>28000</v>
      </c>
      <c r="G35" s="32">
        <f t="shared" si="1"/>
        <v>13000</v>
      </c>
      <c r="H35" s="31" cm="1">
        <f t="array" ref="H35">fn지급금액(D35, F35)</f>
        <v>25200</v>
      </c>
    </row>
    <row r="36" spans="2:8">
      <c r="B36" s="42" t="s">
        <v>85</v>
      </c>
      <c r="C36" s="42" t="str">
        <f t="shared" si="0"/>
        <v>정*규 가족</v>
      </c>
      <c r="D36" s="29" t="s">
        <v>34</v>
      </c>
      <c r="E36" s="29" t="s">
        <v>31</v>
      </c>
      <c r="F36" s="44">
        <v>80000</v>
      </c>
      <c r="G36" s="32">
        <f t="shared" si="1"/>
        <v>60000</v>
      </c>
      <c r="H36" s="31" cm="1">
        <f t="array" ref="H36">fn지급금액(D36, F36)</f>
        <v>72000</v>
      </c>
    </row>
    <row r="37" spans="2:8">
      <c r="B37" s="42" t="s">
        <v>86</v>
      </c>
      <c r="C37" s="42" t="str">
        <f t="shared" si="0"/>
        <v>정*태 가족</v>
      </c>
      <c r="D37" s="29" t="s">
        <v>19</v>
      </c>
      <c r="E37" s="29" t="s">
        <v>28</v>
      </c>
      <c r="F37" s="44">
        <v>16900</v>
      </c>
      <c r="G37" s="32">
        <f t="shared" si="1"/>
        <v>8900</v>
      </c>
      <c r="H37" s="31" cm="1">
        <f t="array" ref="H37">fn지급금액(D37, F37)</f>
        <v>8450</v>
      </c>
    </row>
    <row r="38" spans="2:8">
      <c r="B38" s="42" t="s">
        <v>87</v>
      </c>
      <c r="C38" s="42" t="str">
        <f t="shared" si="0"/>
        <v>정*진 가족</v>
      </c>
      <c r="D38" s="29" t="s">
        <v>19</v>
      </c>
      <c r="E38" s="35" t="s">
        <v>38</v>
      </c>
      <c r="F38" s="44">
        <v>12130</v>
      </c>
      <c r="G38" s="32" t="str">
        <f t="shared" si="1"/>
        <v>지급제외</v>
      </c>
      <c r="H38" s="31" cm="1">
        <f t="array" ref="H38">fn지급금액(D38, F38)</f>
        <v>6065</v>
      </c>
    </row>
  </sheetData>
  <mergeCells count="1">
    <mergeCell ref="K22:M22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K54"/>
  <sheetViews>
    <sheetView workbookViewId="0">
      <selection activeCell="D6" sqref="D6"/>
    </sheetView>
  </sheetViews>
  <sheetFormatPr defaultColWidth="9" defaultRowHeight="16.5"/>
  <cols>
    <col min="1" max="1" width="9" style="5"/>
    <col min="2" max="2" width="15.25" style="5" customWidth="1"/>
    <col min="3" max="8" width="11.375" style="5" customWidth="1"/>
    <col min="9" max="9" width="12.375" style="5" bestFit="1" customWidth="1"/>
    <col min="10" max="11" width="9.625" style="5" bestFit="1" customWidth="1"/>
    <col min="12" max="16384" width="9" style="5"/>
  </cols>
  <sheetData>
    <row r="2" spans="2:11">
      <c r="B2" s="45" t="s">
        <v>97</v>
      </c>
      <c r="C2" s="45" t="s">
        <v>98</v>
      </c>
      <c r="D2" s="45" t="s">
        <v>7</v>
      </c>
      <c r="E2"/>
      <c r="F2"/>
      <c r="G2"/>
      <c r="H2"/>
      <c r="I2"/>
      <c r="J2"/>
      <c r="K2"/>
    </row>
    <row r="3" spans="2:11">
      <c r="B3"/>
      <c r="C3" t="s">
        <v>99</v>
      </c>
      <c r="D3"/>
      <c r="E3"/>
      <c r="F3"/>
      <c r="G3" t="s">
        <v>18</v>
      </c>
      <c r="H3" t="s">
        <v>20</v>
      </c>
      <c r="I3" t="s">
        <v>91</v>
      </c>
      <c r="J3"/>
      <c r="K3"/>
    </row>
    <row r="4" spans="2:11">
      <c r="B4" s="45" t="s">
        <v>9</v>
      </c>
      <c r="C4" t="s">
        <v>88</v>
      </c>
      <c r="D4" t="s">
        <v>16</v>
      </c>
      <c r="E4" t="s">
        <v>19</v>
      </c>
      <c r="F4" t="s">
        <v>14</v>
      </c>
      <c r="G4" t="s">
        <v>18</v>
      </c>
      <c r="H4" t="s">
        <v>20</v>
      </c>
      <c r="I4"/>
      <c r="J4"/>
      <c r="K4"/>
    </row>
    <row r="5" spans="2:11">
      <c r="B5" t="s">
        <v>92</v>
      </c>
      <c r="C5" s="46">
        <v>43470</v>
      </c>
      <c r="D5" s="46">
        <v>166100</v>
      </c>
      <c r="E5" s="46">
        <v>207140</v>
      </c>
      <c r="F5" s="46"/>
      <c r="G5" s="46"/>
      <c r="H5" s="46">
        <v>174330</v>
      </c>
      <c r="I5" s="46">
        <v>591040</v>
      </c>
      <c r="J5"/>
      <c r="K5"/>
    </row>
    <row r="6" spans="2:11">
      <c r="B6" t="s">
        <v>93</v>
      </c>
      <c r="C6" s="46">
        <v>454050</v>
      </c>
      <c r="D6" s="46">
        <v>292120</v>
      </c>
      <c r="E6" s="46">
        <v>659500</v>
      </c>
      <c r="F6" s="46">
        <v>52794</v>
      </c>
      <c r="G6" s="46">
        <v>221364</v>
      </c>
      <c r="H6" s="46">
        <v>70740</v>
      </c>
      <c r="I6" s="46">
        <v>1750568</v>
      </c>
      <c r="J6"/>
      <c r="K6"/>
    </row>
    <row r="7" spans="2:11">
      <c r="B7" t="s">
        <v>94</v>
      </c>
      <c r="C7" s="46">
        <v>306441</v>
      </c>
      <c r="D7" s="46">
        <v>339410</v>
      </c>
      <c r="E7" s="46">
        <v>242945</v>
      </c>
      <c r="F7" s="46">
        <v>360927</v>
      </c>
      <c r="G7" s="46">
        <v>43490</v>
      </c>
      <c r="H7" s="46">
        <v>72000</v>
      </c>
      <c r="I7" s="46">
        <v>1365213</v>
      </c>
      <c r="J7"/>
      <c r="K7"/>
    </row>
    <row r="8" spans="2:11">
      <c r="B8" t="s">
        <v>95</v>
      </c>
      <c r="C8" s="46">
        <v>128295</v>
      </c>
      <c r="D8" s="46">
        <v>84540</v>
      </c>
      <c r="E8" s="46">
        <v>1559272</v>
      </c>
      <c r="F8" s="46">
        <v>63180</v>
      </c>
      <c r="G8" s="46">
        <v>180000</v>
      </c>
      <c r="H8" s="46"/>
      <c r="I8" s="46">
        <v>2015287</v>
      </c>
      <c r="J8"/>
      <c r="K8"/>
    </row>
    <row r="9" spans="2:11">
      <c r="B9" t="s">
        <v>96</v>
      </c>
      <c r="C9" s="46"/>
      <c r="D9" s="46">
        <v>36450</v>
      </c>
      <c r="E9" s="46"/>
      <c r="F9" s="46"/>
      <c r="G9" s="46"/>
      <c r="H9" s="46"/>
      <c r="I9" s="46">
        <v>36450</v>
      </c>
      <c r="J9"/>
      <c r="K9"/>
    </row>
    <row r="10" spans="2:11">
      <c r="B10" t="s">
        <v>91</v>
      </c>
      <c r="C10" s="46">
        <v>932256</v>
      </c>
      <c r="D10" s="46">
        <v>918620</v>
      </c>
      <c r="E10" s="46">
        <v>2668857</v>
      </c>
      <c r="F10" s="46">
        <v>476901</v>
      </c>
      <c r="G10" s="46">
        <v>444854</v>
      </c>
      <c r="H10" s="46">
        <v>317070</v>
      </c>
      <c r="I10" s="46">
        <v>5758558</v>
      </c>
    </row>
    <row r="11" spans="2:11">
      <c r="B11"/>
      <c r="C11"/>
      <c r="D11"/>
      <c r="E11"/>
      <c r="F11"/>
      <c r="G11"/>
      <c r="H11"/>
      <c r="I11"/>
    </row>
    <row r="12" spans="2:11">
      <c r="B12"/>
      <c r="C12"/>
      <c r="D12"/>
      <c r="E12"/>
      <c r="F12"/>
      <c r="G12"/>
      <c r="H12"/>
      <c r="I12"/>
    </row>
    <row r="13" spans="2:11">
      <c r="B13"/>
      <c r="C13"/>
      <c r="D13"/>
      <c r="E13"/>
      <c r="F13"/>
      <c r="G13"/>
      <c r="H13"/>
      <c r="I13"/>
    </row>
    <row r="14" spans="2:11">
      <c r="B14"/>
      <c r="C14"/>
      <c r="D14"/>
      <c r="E14"/>
      <c r="F14"/>
      <c r="G14"/>
      <c r="H14"/>
      <c r="I14"/>
    </row>
    <row r="15" spans="2:11">
      <c r="B15"/>
      <c r="C15"/>
      <c r="D15"/>
      <c r="E15"/>
      <c r="F15"/>
      <c r="G15"/>
      <c r="H15"/>
      <c r="I15"/>
    </row>
    <row r="16" spans="2:11">
      <c r="B16"/>
      <c r="C16"/>
      <c r="D16"/>
      <c r="E16"/>
      <c r="F16"/>
      <c r="G16"/>
      <c r="H16"/>
      <c r="I16"/>
    </row>
    <row r="17" spans="2:9">
      <c r="B17"/>
      <c r="C17"/>
      <c r="D17"/>
      <c r="E17"/>
      <c r="F17"/>
      <c r="G17"/>
      <c r="H17"/>
      <c r="I17"/>
    </row>
    <row r="18" spans="2:9">
      <c r="B18"/>
      <c r="C18"/>
      <c r="D18"/>
      <c r="E18"/>
      <c r="F18"/>
      <c r="G18"/>
      <c r="H18"/>
      <c r="I18"/>
    </row>
    <row r="19" spans="2:9">
      <c r="B19"/>
      <c r="C19"/>
      <c r="D19"/>
      <c r="E19"/>
      <c r="F19"/>
      <c r="G19"/>
      <c r="H19"/>
      <c r="I19"/>
    </row>
    <row r="20" spans="2:9">
      <c r="B20"/>
      <c r="C20"/>
      <c r="D20"/>
      <c r="E20"/>
      <c r="F20"/>
      <c r="G20"/>
      <c r="H20"/>
      <c r="I20"/>
    </row>
    <row r="21" spans="2:9">
      <c r="B21"/>
      <c r="C21"/>
      <c r="D21"/>
      <c r="E21"/>
      <c r="F21"/>
      <c r="G21"/>
      <c r="H21"/>
      <c r="I21"/>
    </row>
    <row r="22" spans="2:9">
      <c r="B22"/>
      <c r="C22"/>
      <c r="D22"/>
      <c r="E22"/>
      <c r="F22"/>
      <c r="G22"/>
      <c r="H22"/>
      <c r="I22"/>
    </row>
    <row r="23" spans="2:9">
      <c r="B23"/>
      <c r="C23"/>
      <c r="D23"/>
      <c r="E23"/>
      <c r="F23"/>
      <c r="G23"/>
      <c r="H23"/>
      <c r="I23"/>
    </row>
    <row r="24" spans="2:9">
      <c r="B24"/>
      <c r="C24"/>
      <c r="D24"/>
      <c r="E24"/>
      <c r="F24"/>
      <c r="G24"/>
      <c r="H24"/>
      <c r="I24"/>
    </row>
    <row r="25" spans="2:9">
      <c r="B25"/>
      <c r="C25"/>
      <c r="D25"/>
      <c r="E25"/>
      <c r="F25"/>
      <c r="G25"/>
      <c r="H25"/>
      <c r="I25"/>
    </row>
    <row r="26" spans="2:9">
      <c r="B26"/>
      <c r="C26"/>
      <c r="D26"/>
      <c r="E26"/>
      <c r="F26"/>
      <c r="G26"/>
      <c r="H26"/>
      <c r="I26"/>
    </row>
    <row r="27" spans="2:9">
      <c r="B27"/>
      <c r="C27"/>
      <c r="D27"/>
      <c r="E27"/>
      <c r="F27"/>
      <c r="G27"/>
      <c r="H27"/>
      <c r="I27"/>
    </row>
    <row r="28" spans="2:9">
      <c r="B28"/>
      <c r="C28"/>
      <c r="D28"/>
      <c r="E28"/>
      <c r="F28"/>
      <c r="G28"/>
      <c r="H28"/>
      <c r="I28"/>
    </row>
    <row r="29" spans="2:9">
      <c r="B29"/>
      <c r="C29"/>
      <c r="D29"/>
      <c r="E29"/>
      <c r="F29"/>
      <c r="G29"/>
      <c r="H29"/>
      <c r="I29"/>
    </row>
    <row r="30" spans="2:9">
      <c r="B30"/>
      <c r="C30"/>
      <c r="D30"/>
      <c r="E30"/>
      <c r="F30"/>
      <c r="G30"/>
      <c r="H30"/>
      <c r="I30"/>
    </row>
    <row r="31" spans="2:9">
      <c r="B31"/>
      <c r="C31"/>
      <c r="D31"/>
      <c r="E31"/>
      <c r="F31"/>
      <c r="G31"/>
      <c r="H31"/>
      <c r="I31"/>
    </row>
    <row r="32" spans="2:9">
      <c r="B32"/>
      <c r="C32"/>
      <c r="D32"/>
      <c r="E32"/>
      <c r="F32"/>
      <c r="G32"/>
      <c r="H32"/>
      <c r="I32"/>
    </row>
    <row r="33" spans="2:9">
      <c r="B33"/>
      <c r="C33"/>
      <c r="D33"/>
      <c r="E33"/>
      <c r="F33"/>
      <c r="G33"/>
      <c r="H33"/>
      <c r="I33"/>
    </row>
    <row r="34" spans="2:9">
      <c r="B34"/>
      <c r="C34"/>
      <c r="D34"/>
      <c r="E34"/>
      <c r="F34"/>
      <c r="G34"/>
      <c r="H34"/>
      <c r="I34"/>
    </row>
    <row r="35" spans="2:9">
      <c r="B35"/>
      <c r="C35"/>
      <c r="D35"/>
      <c r="E35"/>
      <c r="F35"/>
      <c r="G35"/>
      <c r="H35"/>
      <c r="I35"/>
    </row>
    <row r="36" spans="2:9">
      <c r="B36"/>
      <c r="C36"/>
      <c r="D36"/>
      <c r="E36"/>
      <c r="F36"/>
      <c r="G36"/>
      <c r="H36"/>
      <c r="I36"/>
    </row>
    <row r="37" spans="2:9">
      <c r="B37"/>
      <c r="C37"/>
      <c r="D37"/>
      <c r="E37"/>
      <c r="F37"/>
      <c r="G37"/>
      <c r="H37"/>
      <c r="I37"/>
    </row>
    <row r="38" spans="2:9">
      <c r="B38"/>
      <c r="C38"/>
      <c r="D38"/>
      <c r="E38"/>
      <c r="F38"/>
      <c r="G38"/>
      <c r="H38"/>
      <c r="I38"/>
    </row>
    <row r="39" spans="2:9">
      <c r="B39"/>
      <c r="C39"/>
      <c r="D39"/>
      <c r="E39"/>
      <c r="F39"/>
      <c r="G39"/>
      <c r="H39"/>
      <c r="I39"/>
    </row>
    <row r="40" spans="2:9">
      <c r="B40"/>
      <c r="C40"/>
      <c r="D40"/>
      <c r="E40"/>
      <c r="F40"/>
      <c r="G40"/>
      <c r="H40"/>
      <c r="I40"/>
    </row>
    <row r="41" spans="2:9">
      <c r="B41"/>
      <c r="C41"/>
      <c r="D41"/>
      <c r="E41"/>
      <c r="F41"/>
      <c r="G41"/>
      <c r="H41"/>
      <c r="I41"/>
    </row>
    <row r="42" spans="2:9">
      <c r="B42"/>
      <c r="C42"/>
      <c r="D42"/>
      <c r="E42"/>
      <c r="F42"/>
      <c r="G42"/>
      <c r="H42"/>
      <c r="I42"/>
    </row>
    <row r="43" spans="2:9">
      <c r="B43"/>
      <c r="C43"/>
      <c r="D43"/>
      <c r="E43"/>
      <c r="F43"/>
      <c r="G43"/>
      <c r="H43"/>
      <c r="I43"/>
    </row>
    <row r="44" spans="2:9">
      <c r="B44"/>
      <c r="C44"/>
      <c r="D44"/>
      <c r="E44"/>
      <c r="F44"/>
      <c r="G44"/>
      <c r="H44"/>
      <c r="I44"/>
    </row>
    <row r="45" spans="2:9">
      <c r="B45"/>
      <c r="C45"/>
      <c r="D45"/>
      <c r="E45"/>
      <c r="F45"/>
      <c r="G45"/>
      <c r="H45"/>
      <c r="I45"/>
    </row>
    <row r="46" spans="2:9">
      <c r="B46"/>
      <c r="C46"/>
      <c r="D46"/>
      <c r="E46"/>
      <c r="F46"/>
      <c r="G46"/>
      <c r="H46"/>
      <c r="I46"/>
    </row>
    <row r="47" spans="2:9">
      <c r="B47"/>
      <c r="C47"/>
      <c r="D47"/>
      <c r="E47"/>
      <c r="F47"/>
      <c r="G47"/>
      <c r="H47"/>
      <c r="I47"/>
    </row>
    <row r="48" spans="2:9">
      <c r="B48"/>
      <c r="C48"/>
      <c r="D48"/>
      <c r="E48"/>
      <c r="F48"/>
      <c r="G48"/>
      <c r="H48"/>
      <c r="I48"/>
    </row>
    <row r="49" spans="2:9">
      <c r="B49"/>
      <c r="C49"/>
      <c r="D49"/>
      <c r="E49"/>
      <c r="F49"/>
      <c r="G49"/>
      <c r="H49"/>
      <c r="I49"/>
    </row>
    <row r="50" spans="2:9">
      <c r="B50"/>
      <c r="C50"/>
      <c r="D50"/>
      <c r="E50"/>
      <c r="F50"/>
      <c r="G50"/>
      <c r="H50"/>
      <c r="I50"/>
    </row>
    <row r="51" spans="2:9">
      <c r="B51"/>
      <c r="C51"/>
      <c r="D51"/>
      <c r="E51"/>
      <c r="F51"/>
      <c r="G51"/>
      <c r="H51"/>
      <c r="I51"/>
    </row>
    <row r="52" spans="2:9">
      <c r="B52"/>
      <c r="C52"/>
      <c r="D52"/>
      <c r="E52"/>
      <c r="F52"/>
      <c r="G52"/>
      <c r="H52"/>
      <c r="I52"/>
    </row>
    <row r="53" spans="2:9">
      <c r="B53"/>
      <c r="C53"/>
      <c r="D53"/>
      <c r="E53"/>
      <c r="F53"/>
      <c r="G53"/>
      <c r="H53"/>
      <c r="I53"/>
    </row>
    <row r="54" spans="2:9">
      <c r="B54"/>
      <c r="C54"/>
      <c r="D54"/>
      <c r="E54"/>
      <c r="F54"/>
      <c r="G54"/>
      <c r="H54"/>
      <c r="I54"/>
    </row>
  </sheetData>
  <phoneticPr fontId="2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 filterMode="1"/>
  <dimension ref="A1:J28"/>
  <sheetViews>
    <sheetView workbookViewId="0">
      <selection activeCell="L46" sqref="L46"/>
    </sheetView>
  </sheetViews>
  <sheetFormatPr defaultColWidth="9" defaultRowHeight="16.5"/>
  <cols>
    <col min="1" max="1" width="4.625" style="5" customWidth="1"/>
    <col min="2" max="5" width="9" style="5"/>
    <col min="6" max="7" width="11.125" style="5" bestFit="1" customWidth="1"/>
    <col min="8" max="8" width="10.875" style="5" bestFit="1" customWidth="1"/>
    <col min="9" max="9" width="9.375" style="5" bestFit="1" customWidth="1"/>
    <col min="10" max="10" width="10.875" style="5" bestFit="1" customWidth="1"/>
    <col min="11" max="16384" width="9" style="5"/>
  </cols>
  <sheetData>
    <row r="1" spans="1:10">
      <c r="A1"/>
      <c r="B1"/>
      <c r="C1"/>
      <c r="D1"/>
      <c r="E1"/>
      <c r="F1"/>
      <c r="G1"/>
      <c r="H1"/>
      <c r="I1"/>
      <c r="J1"/>
    </row>
    <row r="2" spans="1:10">
      <c r="A2"/>
      <c r="B2" s="25" t="s">
        <v>5</v>
      </c>
      <c r="C2" s="25" t="s">
        <v>6</v>
      </c>
      <c r="D2" s="25" t="s">
        <v>7</v>
      </c>
      <c r="E2" s="25" t="s">
        <v>8</v>
      </c>
      <c r="F2" s="25" t="s">
        <v>9</v>
      </c>
      <c r="G2" s="25" t="s">
        <v>10</v>
      </c>
      <c r="H2" s="26" t="s">
        <v>11</v>
      </c>
      <c r="I2" s="26" t="s">
        <v>45</v>
      </c>
      <c r="J2" s="26" t="s">
        <v>12</v>
      </c>
    </row>
    <row r="3" spans="1:10" hidden="1">
      <c r="A3"/>
      <c r="B3" s="54" t="s">
        <v>49</v>
      </c>
      <c r="C3" s="54" t="s">
        <v>50</v>
      </c>
      <c r="D3" s="54" t="s">
        <v>16</v>
      </c>
      <c r="E3" s="54" t="s">
        <v>15</v>
      </c>
      <c r="F3" s="55">
        <v>42429</v>
      </c>
      <c r="G3" s="55">
        <v>42643</v>
      </c>
      <c r="H3" s="43">
        <v>46000</v>
      </c>
      <c r="I3" s="43">
        <f t="shared" ref="I3:I9" si="0">H3-J3</f>
        <v>46000</v>
      </c>
      <c r="J3" s="43">
        <v>0</v>
      </c>
    </row>
    <row r="4" spans="1:10" hidden="1">
      <c r="A4"/>
      <c r="B4" s="54" t="s">
        <v>49</v>
      </c>
      <c r="C4" s="54" t="s">
        <v>50</v>
      </c>
      <c r="D4" s="54" t="s">
        <v>16</v>
      </c>
      <c r="E4" s="54" t="s">
        <v>17</v>
      </c>
      <c r="F4" s="55">
        <v>42460</v>
      </c>
      <c r="G4" s="55">
        <v>42643</v>
      </c>
      <c r="H4" s="43">
        <v>19200</v>
      </c>
      <c r="I4" s="43">
        <f t="shared" si="0"/>
        <v>9600</v>
      </c>
      <c r="J4" s="43">
        <v>9600</v>
      </c>
    </row>
    <row r="5" spans="1:10" hidden="1">
      <c r="A5"/>
      <c r="B5" s="54" t="s">
        <v>49</v>
      </c>
      <c r="C5" s="54" t="s">
        <v>50</v>
      </c>
      <c r="D5" s="54" t="s">
        <v>16</v>
      </c>
      <c r="E5" s="54" t="s">
        <v>15</v>
      </c>
      <c r="F5" s="55">
        <v>42400</v>
      </c>
      <c r="G5" s="55">
        <v>42735</v>
      </c>
      <c r="H5" s="43">
        <v>76200</v>
      </c>
      <c r="I5" s="43">
        <f t="shared" si="0"/>
        <v>38100</v>
      </c>
      <c r="J5" s="43">
        <v>38100</v>
      </c>
    </row>
    <row r="6" spans="1:10">
      <c r="A6"/>
      <c r="B6" s="54" t="s">
        <v>49</v>
      </c>
      <c r="C6" s="54" t="s">
        <v>50</v>
      </c>
      <c r="D6" s="54" t="s">
        <v>16</v>
      </c>
      <c r="E6" s="54" t="s">
        <v>17</v>
      </c>
      <c r="F6" s="55">
        <v>42400</v>
      </c>
      <c r="G6" s="55">
        <v>42735</v>
      </c>
      <c r="H6" s="43">
        <v>236800</v>
      </c>
      <c r="I6" s="43">
        <f t="shared" si="0"/>
        <v>118400</v>
      </c>
      <c r="J6" s="43">
        <v>118400</v>
      </c>
    </row>
    <row r="7" spans="1:10">
      <c r="A7"/>
      <c r="B7" s="54" t="s">
        <v>49</v>
      </c>
      <c r="C7" s="54" t="s">
        <v>52</v>
      </c>
      <c r="D7" s="54" t="s">
        <v>19</v>
      </c>
      <c r="E7" s="54" t="s">
        <v>17</v>
      </c>
      <c r="F7" s="55">
        <v>42766</v>
      </c>
      <c r="G7" s="55">
        <v>43100</v>
      </c>
      <c r="H7" s="43">
        <v>151500</v>
      </c>
      <c r="I7" s="43">
        <f t="shared" si="0"/>
        <v>75750</v>
      </c>
      <c r="J7" s="43">
        <v>75750</v>
      </c>
    </row>
    <row r="8" spans="1:10" hidden="1">
      <c r="A8"/>
      <c r="B8" s="54" t="s">
        <v>49</v>
      </c>
      <c r="C8" s="54" t="s">
        <v>52</v>
      </c>
      <c r="D8" s="54" t="s">
        <v>19</v>
      </c>
      <c r="E8" s="54" t="s">
        <v>15</v>
      </c>
      <c r="F8" s="55">
        <v>42766</v>
      </c>
      <c r="G8" s="55">
        <v>43100</v>
      </c>
      <c r="H8" s="43">
        <v>30600</v>
      </c>
      <c r="I8" s="43">
        <f t="shared" si="0"/>
        <v>15300</v>
      </c>
      <c r="J8" s="43">
        <v>15300</v>
      </c>
    </row>
    <row r="9" spans="1:10">
      <c r="A9"/>
      <c r="B9" s="54" t="s">
        <v>49</v>
      </c>
      <c r="C9" s="54" t="s">
        <v>52</v>
      </c>
      <c r="D9" s="54" t="s">
        <v>19</v>
      </c>
      <c r="E9" s="54" t="s">
        <v>15</v>
      </c>
      <c r="F9" s="55">
        <v>42794</v>
      </c>
      <c r="G9" s="55">
        <v>42825</v>
      </c>
      <c r="H9" s="43">
        <v>223400</v>
      </c>
      <c r="I9" s="43">
        <f t="shared" si="0"/>
        <v>123700</v>
      </c>
      <c r="J9" s="43">
        <v>99700</v>
      </c>
    </row>
    <row r="10" spans="1:10" hidden="1">
      <c r="A10"/>
      <c r="B10" s="54" t="s">
        <v>49</v>
      </c>
      <c r="C10" s="54" t="s">
        <v>51</v>
      </c>
      <c r="D10" s="54" t="s">
        <v>18</v>
      </c>
      <c r="E10" s="54" t="s">
        <v>15</v>
      </c>
      <c r="F10" s="55">
        <v>43465</v>
      </c>
      <c r="G10" s="55">
        <v>43465</v>
      </c>
      <c r="H10" s="43">
        <v>79980</v>
      </c>
      <c r="I10" s="43">
        <v>36490</v>
      </c>
      <c r="J10" s="43">
        <v>43490</v>
      </c>
    </row>
    <row r="11" spans="1:10">
      <c r="A11"/>
      <c r="B11" s="54" t="s">
        <v>49</v>
      </c>
      <c r="C11" s="54" t="s">
        <v>52</v>
      </c>
      <c r="D11" s="54" t="s">
        <v>19</v>
      </c>
      <c r="E11" s="54" t="s">
        <v>17</v>
      </c>
      <c r="F11" s="55">
        <v>43131</v>
      </c>
      <c r="G11" s="55">
        <v>43465</v>
      </c>
      <c r="H11" s="43">
        <v>137100</v>
      </c>
      <c r="I11" s="43">
        <v>88000</v>
      </c>
      <c r="J11" s="43">
        <v>49100</v>
      </c>
    </row>
    <row r="12" spans="1:10" hidden="1">
      <c r="A12"/>
      <c r="B12" s="54" t="s">
        <v>49</v>
      </c>
      <c r="C12" s="54" t="s">
        <v>50</v>
      </c>
      <c r="D12" s="54" t="s">
        <v>16</v>
      </c>
      <c r="E12" s="54" t="s">
        <v>15</v>
      </c>
      <c r="F12" s="55">
        <v>43131</v>
      </c>
      <c r="G12" s="55">
        <v>43465</v>
      </c>
      <c r="H12" s="43">
        <v>73200</v>
      </c>
      <c r="I12" s="43">
        <v>73200</v>
      </c>
      <c r="J12" s="43">
        <v>0</v>
      </c>
    </row>
    <row r="13" spans="1:10">
      <c r="A13"/>
      <c r="B13" s="54" t="s">
        <v>49</v>
      </c>
      <c r="C13" s="54" t="s">
        <v>50</v>
      </c>
      <c r="D13" s="54" t="s">
        <v>16</v>
      </c>
      <c r="E13" s="54" t="s">
        <v>17</v>
      </c>
      <c r="F13" s="55">
        <v>43131</v>
      </c>
      <c r="G13" s="55">
        <v>43465</v>
      </c>
      <c r="H13" s="43">
        <v>199300</v>
      </c>
      <c r="I13" s="43">
        <v>96000</v>
      </c>
      <c r="J13" s="43">
        <v>103300</v>
      </c>
    </row>
    <row r="14" spans="1:10" hidden="1">
      <c r="A14"/>
      <c r="B14" s="54" t="s">
        <v>49</v>
      </c>
      <c r="C14" s="54" t="s">
        <v>50</v>
      </c>
      <c r="D14" s="54" t="s">
        <v>16</v>
      </c>
      <c r="E14" s="54" t="s">
        <v>15</v>
      </c>
      <c r="F14" s="55">
        <v>43131</v>
      </c>
      <c r="G14" s="55">
        <v>43131</v>
      </c>
      <c r="H14" s="43">
        <v>90110</v>
      </c>
      <c r="I14" s="43">
        <v>20000</v>
      </c>
      <c r="J14" s="43">
        <v>70110</v>
      </c>
    </row>
    <row r="15" spans="1:10" hidden="1">
      <c r="A15"/>
      <c r="B15" s="54" t="s">
        <v>49</v>
      </c>
      <c r="C15" s="54" t="s">
        <v>50</v>
      </c>
      <c r="D15" s="54" t="s">
        <v>16</v>
      </c>
      <c r="E15" s="54" t="s">
        <v>15</v>
      </c>
      <c r="F15" s="55">
        <v>43343</v>
      </c>
      <c r="G15" s="55">
        <v>43343</v>
      </c>
      <c r="H15" s="43">
        <v>23860</v>
      </c>
      <c r="I15" s="43">
        <v>20000</v>
      </c>
      <c r="J15" s="43">
        <v>3860</v>
      </c>
    </row>
    <row r="16" spans="1:10" hidden="1">
      <c r="A16"/>
      <c r="B16" s="54" t="s">
        <v>49</v>
      </c>
      <c r="C16" s="54" t="s">
        <v>50</v>
      </c>
      <c r="D16" s="54" t="s">
        <v>16</v>
      </c>
      <c r="E16" s="54" t="s">
        <v>15</v>
      </c>
      <c r="F16" s="55">
        <v>43159</v>
      </c>
      <c r="G16" s="55">
        <v>43159</v>
      </c>
      <c r="H16" s="43">
        <v>20600</v>
      </c>
      <c r="I16" s="43">
        <v>20000</v>
      </c>
      <c r="J16" s="43">
        <v>600</v>
      </c>
    </row>
    <row r="17" spans="1:10" hidden="1">
      <c r="A17"/>
      <c r="B17" s="54" t="s">
        <v>49</v>
      </c>
      <c r="C17" s="54" t="s">
        <v>50</v>
      </c>
      <c r="D17" s="54" t="s">
        <v>16</v>
      </c>
      <c r="E17" s="54" t="s">
        <v>15</v>
      </c>
      <c r="F17" s="55">
        <v>43159</v>
      </c>
      <c r="G17" s="55">
        <v>43159</v>
      </c>
      <c r="H17" s="43">
        <v>32310</v>
      </c>
      <c r="I17" s="43">
        <v>15000</v>
      </c>
      <c r="J17" s="43">
        <v>17310</v>
      </c>
    </row>
    <row r="18" spans="1:10">
      <c r="A18"/>
      <c r="B18" s="54" t="s">
        <v>49</v>
      </c>
      <c r="C18" s="54" t="s">
        <v>50</v>
      </c>
      <c r="D18" s="54" t="s">
        <v>16</v>
      </c>
      <c r="E18" s="54" t="s">
        <v>15</v>
      </c>
      <c r="F18" s="55">
        <v>43190</v>
      </c>
      <c r="G18" s="55">
        <v>43190</v>
      </c>
      <c r="H18" s="43">
        <v>119330</v>
      </c>
      <c r="I18" s="43">
        <v>15000</v>
      </c>
      <c r="J18" s="43">
        <v>104330</v>
      </c>
    </row>
    <row r="19" spans="1:10" hidden="1">
      <c r="A19"/>
      <c r="B19" s="54" t="s">
        <v>49</v>
      </c>
      <c r="C19" s="54" t="s">
        <v>52</v>
      </c>
      <c r="D19" s="54" t="s">
        <v>19</v>
      </c>
      <c r="E19" s="54" t="s">
        <v>15</v>
      </c>
      <c r="F19" s="55">
        <v>43159</v>
      </c>
      <c r="G19" s="55">
        <v>43159</v>
      </c>
      <c r="H19" s="43">
        <v>32310</v>
      </c>
      <c r="I19" s="43">
        <v>15000</v>
      </c>
      <c r="J19" s="43">
        <v>17310</v>
      </c>
    </row>
    <row r="20" spans="1:10">
      <c r="A20"/>
      <c r="B20" s="54" t="s">
        <v>49</v>
      </c>
      <c r="C20" s="54" t="s">
        <v>52</v>
      </c>
      <c r="D20" s="54" t="s">
        <v>19</v>
      </c>
      <c r="E20" s="54" t="s">
        <v>15</v>
      </c>
      <c r="F20" s="55">
        <v>43190</v>
      </c>
      <c r="G20" s="55">
        <v>43190</v>
      </c>
      <c r="H20" s="43">
        <v>133830</v>
      </c>
      <c r="I20" s="43">
        <v>15000</v>
      </c>
      <c r="J20" s="43">
        <v>118830</v>
      </c>
    </row>
    <row r="21" spans="1:10">
      <c r="A21"/>
      <c r="B21" s="54" t="s">
        <v>49</v>
      </c>
      <c r="C21" s="54" t="s">
        <v>52</v>
      </c>
      <c r="D21" s="54" t="s">
        <v>47</v>
      </c>
      <c r="E21" s="54" t="s">
        <v>46</v>
      </c>
      <c r="F21" s="55">
        <v>43799</v>
      </c>
      <c r="G21" s="55">
        <v>43799</v>
      </c>
      <c r="H21" s="37">
        <v>1253980</v>
      </c>
      <c r="I21" s="37">
        <v>134398</v>
      </c>
      <c r="J21" s="43">
        <f>H21-I21</f>
        <v>1119582</v>
      </c>
    </row>
    <row r="22" spans="1:10" hidden="1">
      <c r="A22"/>
      <c r="B22" s="54" t="s">
        <v>49</v>
      </c>
      <c r="C22" s="54" t="s">
        <v>52</v>
      </c>
      <c r="D22" s="54" t="s">
        <v>47</v>
      </c>
      <c r="E22" s="54" t="s">
        <v>48</v>
      </c>
      <c r="F22" s="55">
        <v>43830</v>
      </c>
      <c r="G22" s="55">
        <v>43830</v>
      </c>
      <c r="H22" s="43">
        <v>34650</v>
      </c>
      <c r="I22" s="43">
        <v>15000</v>
      </c>
      <c r="J22" s="43">
        <v>19650</v>
      </c>
    </row>
    <row r="23" spans="1:10" hidden="1">
      <c r="A23"/>
      <c r="B23" s="54" t="s">
        <v>49</v>
      </c>
      <c r="C23" s="54" t="s">
        <v>52</v>
      </c>
      <c r="D23" s="54" t="s">
        <v>47</v>
      </c>
      <c r="E23" s="54" t="s">
        <v>48</v>
      </c>
      <c r="F23" s="55">
        <v>43496</v>
      </c>
      <c r="G23" s="55">
        <v>43496</v>
      </c>
      <c r="H23" s="43">
        <v>70080</v>
      </c>
      <c r="I23" s="43">
        <v>15000</v>
      </c>
      <c r="J23" s="43">
        <v>55080</v>
      </c>
    </row>
    <row r="24" spans="1:10">
      <c r="A24"/>
      <c r="B24" s="54" t="s">
        <v>49</v>
      </c>
      <c r="C24" s="54" t="s">
        <v>52</v>
      </c>
      <c r="D24" s="54" t="s">
        <v>47</v>
      </c>
      <c r="E24" s="54" t="s">
        <v>48</v>
      </c>
      <c r="F24" s="55">
        <v>43496</v>
      </c>
      <c r="G24" s="55">
        <v>43496</v>
      </c>
      <c r="H24" s="43">
        <v>203600</v>
      </c>
      <c r="I24" s="43">
        <v>15000</v>
      </c>
      <c r="J24" s="43">
        <v>188600</v>
      </c>
    </row>
    <row r="25" spans="1:10" hidden="1">
      <c r="A25"/>
      <c r="B25" s="54" t="s">
        <v>49</v>
      </c>
      <c r="C25" s="54" t="s">
        <v>52</v>
      </c>
      <c r="D25" s="54" t="s">
        <v>47</v>
      </c>
      <c r="E25" s="54" t="s">
        <v>48</v>
      </c>
      <c r="F25" s="55">
        <v>43496</v>
      </c>
      <c r="G25" s="55">
        <v>43496</v>
      </c>
      <c r="H25" s="43">
        <v>38580</v>
      </c>
      <c r="I25" s="43">
        <v>15000</v>
      </c>
      <c r="J25" s="43">
        <v>23580</v>
      </c>
    </row>
    <row r="26" spans="1:10" hidden="1">
      <c r="A26"/>
      <c r="B26" s="54" t="s">
        <v>49</v>
      </c>
      <c r="C26" s="54" t="s">
        <v>52</v>
      </c>
      <c r="D26" s="54" t="s">
        <v>47</v>
      </c>
      <c r="E26" s="54" t="s">
        <v>48</v>
      </c>
      <c r="F26" s="55">
        <v>43616</v>
      </c>
      <c r="G26" s="55">
        <v>43616</v>
      </c>
      <c r="H26" s="43">
        <v>26940</v>
      </c>
      <c r="I26" s="43">
        <v>15000</v>
      </c>
      <c r="J26" s="43">
        <v>11940</v>
      </c>
    </row>
    <row r="27" spans="1:10">
      <c r="A27"/>
      <c r="B27" s="54" t="s">
        <v>49</v>
      </c>
      <c r="C27" s="54" t="s">
        <v>52</v>
      </c>
      <c r="D27" s="54" t="s">
        <v>47</v>
      </c>
      <c r="E27" s="54" t="s">
        <v>48</v>
      </c>
      <c r="F27" s="55">
        <v>43738</v>
      </c>
      <c r="G27" s="55">
        <v>43738</v>
      </c>
      <c r="H27" s="43">
        <v>130840</v>
      </c>
      <c r="I27" s="43">
        <v>15000</v>
      </c>
      <c r="J27" s="43">
        <v>115840</v>
      </c>
    </row>
    <row r="28" spans="1:10" hidden="1">
      <c r="A28"/>
      <c r="B28" s="54" t="s">
        <v>49</v>
      </c>
      <c r="C28" s="54" t="s">
        <v>52</v>
      </c>
      <c r="D28" s="54" t="s">
        <v>47</v>
      </c>
      <c r="E28" s="54" t="s">
        <v>48</v>
      </c>
      <c r="F28" s="55">
        <v>43830</v>
      </c>
      <c r="G28" s="55">
        <v>43830</v>
      </c>
      <c r="H28" s="43">
        <v>40000</v>
      </c>
      <c r="I28" s="43">
        <v>15000</v>
      </c>
      <c r="J28" s="43">
        <v>25000</v>
      </c>
    </row>
  </sheetData>
  <autoFilter ref="B2:J28" xr:uid="{00000000-0009-0000-0000-000004000000}">
    <filterColumn colId="6">
      <top10 val="10" filterVal="119330"/>
    </filterColumn>
  </autoFilter>
  <dataConsolidate function="average" topLabels="1">
    <dataRefs count="4">
      <dataRef ref="B16:G25" sheet="분석작업-2" r:id="rId1"/>
      <dataRef ref="J16:O24" sheet="분석작업-2" r:id="rId2"/>
      <dataRef ref="B28:G36" sheet="분석작업-2" r:id="rId3"/>
      <dataRef ref="J28:O36" sheet="분석작업-2" r:id="rId4"/>
    </dataRefs>
  </dataConsolidate>
  <phoneticPr fontId="2" type="noConversion"/>
  <dataValidations count="1">
    <dataValidation type="whole" errorStyle="warning" operator="greaterThanOrEqual" allowBlank="1" showInputMessage="1" showErrorMessage="1" errorTitle="수납입력" error="수납금액을 다시 입력해 주세요" promptTitle="기본수납금액" prompt="3000원부터~" sqref="H3:H28" xr:uid="{00000000-0002-0000-0400-000000000000}">
      <formula1>3000</formula1>
    </dataValidation>
  </dataValidation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G8"/>
  <sheetViews>
    <sheetView topLeftCell="A10" workbookViewId="0">
      <selection activeCell="I37" sqref="I37"/>
    </sheetView>
  </sheetViews>
  <sheetFormatPr defaultColWidth="8.75" defaultRowHeight="16.5"/>
  <cols>
    <col min="1" max="1" width="8.75" style="5"/>
    <col min="2" max="2" width="11.25" style="5" bestFit="1" customWidth="1"/>
    <col min="3" max="16384" width="8.75" style="5"/>
  </cols>
  <sheetData>
    <row r="1" spans="2:7">
      <c r="B1" s="57" t="s">
        <v>100</v>
      </c>
      <c r="C1" s="57"/>
      <c r="D1" s="57"/>
      <c r="E1" s="57"/>
      <c r="F1" s="57"/>
      <c r="G1" s="57"/>
    </row>
    <row r="2" spans="2:7">
      <c r="B2" s="57"/>
      <c r="C2" s="57"/>
      <c r="D2" s="57"/>
      <c r="E2" s="57"/>
      <c r="F2" s="57"/>
      <c r="G2" s="57"/>
    </row>
    <row r="3" spans="2:7">
      <c r="B3" s="1"/>
    </row>
    <row r="4" spans="2:7">
      <c r="B4" s="2"/>
      <c r="C4" s="3">
        <v>2014</v>
      </c>
      <c r="D4" s="3">
        <v>2015</v>
      </c>
      <c r="E4" s="3">
        <v>2016</v>
      </c>
      <c r="F4" s="3">
        <v>2017</v>
      </c>
      <c r="G4" s="3">
        <v>2018</v>
      </c>
    </row>
    <row r="5" spans="2:7">
      <c r="B5" s="4" t="s">
        <v>101</v>
      </c>
      <c r="C5" s="47">
        <v>101.3</v>
      </c>
      <c r="D5" s="47">
        <v>110.2</v>
      </c>
      <c r="E5" s="47">
        <v>120.5</v>
      </c>
      <c r="F5" s="47">
        <v>131.6</v>
      </c>
      <c r="G5" s="47">
        <v>144.4</v>
      </c>
    </row>
    <row r="6" spans="2:7">
      <c r="B6" s="4" t="s">
        <v>3</v>
      </c>
      <c r="C6" s="47">
        <v>6.8</v>
      </c>
      <c r="D6" s="47">
        <v>7</v>
      </c>
      <c r="E6" s="47">
        <v>7.3</v>
      </c>
      <c r="F6" s="47">
        <v>7.6</v>
      </c>
      <c r="G6" s="47">
        <v>8.1</v>
      </c>
    </row>
    <row r="7" spans="2:7">
      <c r="B7" s="4" t="s">
        <v>102</v>
      </c>
      <c r="C7" s="47">
        <v>59.5</v>
      </c>
      <c r="D7" s="47">
        <v>64.900000000000006</v>
      </c>
      <c r="E7" s="47">
        <v>71.3</v>
      </c>
      <c r="F7" s="47">
        <v>77.5</v>
      </c>
      <c r="G7" s="47">
        <v>86.3</v>
      </c>
    </row>
    <row r="8" spans="2:7">
      <c r="B8" s="4" t="s">
        <v>4</v>
      </c>
      <c r="C8" s="47">
        <v>41.8</v>
      </c>
      <c r="D8" s="47">
        <v>45.3</v>
      </c>
      <c r="E8" s="47">
        <v>49.2</v>
      </c>
      <c r="F8" s="47">
        <v>54.1</v>
      </c>
      <c r="G8" s="47">
        <v>58.1</v>
      </c>
    </row>
  </sheetData>
  <mergeCells count="1">
    <mergeCell ref="B1:G2"/>
  </mergeCells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I31"/>
  <sheetViews>
    <sheetView workbookViewId="0">
      <selection activeCell="K5" sqref="K5"/>
    </sheetView>
  </sheetViews>
  <sheetFormatPr defaultRowHeight="16.5"/>
  <cols>
    <col min="1" max="1" width="3.5" customWidth="1"/>
    <col min="2" max="9" width="10.25" customWidth="1"/>
  </cols>
  <sheetData>
    <row r="1" spans="1:9">
      <c r="A1" s="23"/>
      <c r="B1" s="23"/>
      <c r="C1" s="23"/>
      <c r="D1" s="23"/>
      <c r="E1" s="33"/>
      <c r="F1" s="33"/>
      <c r="G1" s="23"/>
      <c r="H1" s="23"/>
      <c r="I1" s="23"/>
    </row>
    <row r="2" spans="1:9">
      <c r="A2" s="23"/>
      <c r="B2" s="23"/>
      <c r="C2" s="23"/>
      <c r="D2" s="23"/>
      <c r="E2" s="33"/>
      <c r="F2" s="33"/>
      <c r="G2" s="23"/>
      <c r="H2" s="23"/>
      <c r="I2" s="23"/>
    </row>
    <row r="3" spans="1:9">
      <c r="A3" s="23"/>
      <c r="B3" s="23"/>
      <c r="C3" s="23"/>
      <c r="D3" s="23"/>
      <c r="E3" s="33"/>
      <c r="F3" s="33"/>
      <c r="G3" s="23"/>
      <c r="H3" s="23"/>
      <c r="I3" s="23"/>
    </row>
    <row r="4" spans="1:9">
      <c r="A4" s="16"/>
      <c r="B4" s="17"/>
      <c r="C4" s="17"/>
      <c r="D4" s="16"/>
      <c r="E4" s="18"/>
      <c r="F4" s="18"/>
      <c r="G4" s="16"/>
      <c r="H4" s="20"/>
      <c r="I4" s="21"/>
    </row>
    <row r="5" spans="1:9">
      <c r="A5" s="18"/>
      <c r="B5" s="25" t="s">
        <v>5</v>
      </c>
      <c r="C5" s="25" t="s">
        <v>6</v>
      </c>
      <c r="D5" s="25" t="s">
        <v>8</v>
      </c>
      <c r="E5" s="25" t="s">
        <v>9</v>
      </c>
      <c r="F5" s="25" t="s">
        <v>10</v>
      </c>
      <c r="G5" s="26" t="s">
        <v>11</v>
      </c>
      <c r="H5" s="26" t="s">
        <v>45</v>
      </c>
      <c r="I5" s="26" t="s">
        <v>12</v>
      </c>
    </row>
    <row r="6" spans="1:9">
      <c r="A6" s="23"/>
      <c r="B6" s="19" t="s">
        <v>49</v>
      </c>
      <c r="C6" s="19" t="s">
        <v>50</v>
      </c>
      <c r="D6" s="19" t="s">
        <v>15</v>
      </c>
      <c r="E6" s="41">
        <v>42429</v>
      </c>
      <c r="F6" s="41">
        <v>42643</v>
      </c>
      <c r="G6" s="30">
        <v>46000</v>
      </c>
      <c r="H6" s="30">
        <f t="shared" ref="H6:H12" si="0">G6-I6</f>
        <v>46000</v>
      </c>
      <c r="I6" s="30">
        <v>0</v>
      </c>
    </row>
    <row r="7" spans="1:9">
      <c r="A7" s="23"/>
      <c r="B7" s="19" t="s">
        <v>49</v>
      </c>
      <c r="C7" s="19" t="s">
        <v>50</v>
      </c>
      <c r="D7" s="19" t="s">
        <v>17</v>
      </c>
      <c r="E7" s="41">
        <v>42460</v>
      </c>
      <c r="F7" s="41">
        <v>42643</v>
      </c>
      <c r="G7" s="30">
        <v>19200</v>
      </c>
      <c r="H7" s="30">
        <f t="shared" si="0"/>
        <v>9600</v>
      </c>
      <c r="I7" s="30">
        <v>9600</v>
      </c>
    </row>
    <row r="8" spans="1:9">
      <c r="A8" s="23"/>
      <c r="B8" s="19" t="s">
        <v>49</v>
      </c>
      <c r="C8" s="19" t="s">
        <v>50</v>
      </c>
      <c r="D8" s="19" t="s">
        <v>15</v>
      </c>
      <c r="E8" s="41">
        <v>42400</v>
      </c>
      <c r="F8" s="41">
        <v>42735</v>
      </c>
      <c r="G8" s="30">
        <v>76200</v>
      </c>
      <c r="H8" s="30">
        <f t="shared" si="0"/>
        <v>38100</v>
      </c>
      <c r="I8" s="30">
        <v>38100</v>
      </c>
    </row>
    <row r="9" spans="1:9">
      <c r="A9" s="23"/>
      <c r="B9" s="19" t="s">
        <v>49</v>
      </c>
      <c r="C9" s="19" t="s">
        <v>50</v>
      </c>
      <c r="D9" s="19" t="s">
        <v>17</v>
      </c>
      <c r="E9" s="41">
        <v>42400</v>
      </c>
      <c r="F9" s="41">
        <v>42735</v>
      </c>
      <c r="G9" s="30">
        <v>236800</v>
      </c>
      <c r="H9" s="30">
        <f t="shared" si="0"/>
        <v>118400</v>
      </c>
      <c r="I9" s="30">
        <v>118400</v>
      </c>
    </row>
    <row r="10" spans="1:9">
      <c r="A10" s="23"/>
      <c r="B10" s="19" t="s">
        <v>49</v>
      </c>
      <c r="C10" s="19" t="s">
        <v>52</v>
      </c>
      <c r="D10" s="19" t="s">
        <v>17</v>
      </c>
      <c r="E10" s="41">
        <v>42766</v>
      </c>
      <c r="F10" s="41">
        <v>43100</v>
      </c>
      <c r="G10" s="30">
        <v>151500</v>
      </c>
      <c r="H10" s="30">
        <f t="shared" si="0"/>
        <v>75750</v>
      </c>
      <c r="I10" s="30">
        <v>75750</v>
      </c>
    </row>
    <row r="11" spans="1:9">
      <c r="A11" s="23"/>
      <c r="B11" s="19" t="s">
        <v>49</v>
      </c>
      <c r="C11" s="19" t="s">
        <v>52</v>
      </c>
      <c r="D11" s="19" t="s">
        <v>15</v>
      </c>
      <c r="E11" s="41">
        <v>42766</v>
      </c>
      <c r="F11" s="41">
        <v>43100</v>
      </c>
      <c r="G11" s="30">
        <v>30600</v>
      </c>
      <c r="H11" s="30">
        <f t="shared" si="0"/>
        <v>15300</v>
      </c>
      <c r="I11" s="30">
        <v>15300</v>
      </c>
    </row>
    <row r="12" spans="1:9">
      <c r="A12" s="23"/>
      <c r="B12" s="19" t="s">
        <v>49</v>
      </c>
      <c r="C12" s="19" t="s">
        <v>52</v>
      </c>
      <c r="D12" s="19" t="s">
        <v>15</v>
      </c>
      <c r="E12" s="41">
        <v>42794</v>
      </c>
      <c r="F12" s="41">
        <v>42825</v>
      </c>
      <c r="G12" s="30">
        <v>223400</v>
      </c>
      <c r="H12" s="30">
        <f t="shared" si="0"/>
        <v>123700</v>
      </c>
      <c r="I12" s="30">
        <v>99700</v>
      </c>
    </row>
    <row r="13" spans="1:9">
      <c r="A13" s="23"/>
      <c r="B13" s="19" t="s">
        <v>49</v>
      </c>
      <c r="C13" s="19" t="s">
        <v>51</v>
      </c>
      <c r="D13" s="19" t="s">
        <v>15</v>
      </c>
      <c r="E13" s="41">
        <v>43465</v>
      </c>
      <c r="F13" s="41">
        <v>43465</v>
      </c>
      <c r="G13" s="30">
        <v>79980</v>
      </c>
      <c r="H13" s="30">
        <v>36490</v>
      </c>
      <c r="I13" s="30">
        <v>43490</v>
      </c>
    </row>
    <row r="14" spans="1:9">
      <c r="A14" s="23"/>
      <c r="B14" s="19" t="s">
        <v>49</v>
      </c>
      <c r="C14" s="19" t="s">
        <v>52</v>
      </c>
      <c r="D14" s="19" t="s">
        <v>17</v>
      </c>
      <c r="E14" s="41">
        <v>43131</v>
      </c>
      <c r="F14" s="41">
        <v>43465</v>
      </c>
      <c r="G14" s="30">
        <v>137100</v>
      </c>
      <c r="H14" s="30">
        <v>88000</v>
      </c>
      <c r="I14" s="30">
        <v>49100</v>
      </c>
    </row>
    <row r="15" spans="1:9">
      <c r="A15" s="23"/>
      <c r="B15" s="19" t="s">
        <v>49</v>
      </c>
      <c r="C15" s="19" t="s">
        <v>50</v>
      </c>
      <c r="D15" s="19" t="s">
        <v>15</v>
      </c>
      <c r="E15" s="41">
        <v>43131</v>
      </c>
      <c r="F15" s="41">
        <v>43465</v>
      </c>
      <c r="G15" s="30">
        <v>73200</v>
      </c>
      <c r="H15" s="30">
        <v>73200</v>
      </c>
      <c r="I15" s="30">
        <v>0</v>
      </c>
    </row>
    <row r="16" spans="1:9">
      <c r="A16" s="23"/>
      <c r="B16" s="19" t="s">
        <v>49</v>
      </c>
      <c r="C16" s="19" t="s">
        <v>50</v>
      </c>
      <c r="D16" s="19" t="s">
        <v>17</v>
      </c>
      <c r="E16" s="41">
        <v>43131</v>
      </c>
      <c r="F16" s="41">
        <v>43465</v>
      </c>
      <c r="G16" s="30">
        <v>199300</v>
      </c>
      <c r="H16" s="30">
        <v>96000</v>
      </c>
      <c r="I16" s="30">
        <v>103300</v>
      </c>
    </row>
    <row r="17" spans="1:9">
      <c r="A17" s="23"/>
      <c r="B17" s="19" t="s">
        <v>49</v>
      </c>
      <c r="C17" s="19" t="s">
        <v>50</v>
      </c>
      <c r="D17" s="19" t="s">
        <v>15</v>
      </c>
      <c r="E17" s="41">
        <v>43131</v>
      </c>
      <c r="F17" s="41">
        <v>43131</v>
      </c>
      <c r="G17" s="30">
        <v>90110</v>
      </c>
      <c r="H17" s="30">
        <v>20000</v>
      </c>
      <c r="I17" s="30">
        <v>70110</v>
      </c>
    </row>
    <row r="18" spans="1:9">
      <c r="A18" s="23"/>
      <c r="B18" s="19" t="s">
        <v>49</v>
      </c>
      <c r="C18" s="19" t="s">
        <v>50</v>
      </c>
      <c r="D18" s="19" t="s">
        <v>15</v>
      </c>
      <c r="E18" s="41">
        <v>43343</v>
      </c>
      <c r="F18" s="41">
        <v>43343</v>
      </c>
      <c r="G18" s="30">
        <v>23860</v>
      </c>
      <c r="H18" s="30">
        <v>20000</v>
      </c>
      <c r="I18" s="30">
        <v>3860</v>
      </c>
    </row>
    <row r="19" spans="1:9">
      <c r="A19" s="23"/>
      <c r="B19" s="19" t="s">
        <v>49</v>
      </c>
      <c r="C19" s="19" t="s">
        <v>50</v>
      </c>
      <c r="D19" s="19" t="s">
        <v>15</v>
      </c>
      <c r="E19" s="41">
        <v>43159</v>
      </c>
      <c r="F19" s="41">
        <v>43159</v>
      </c>
      <c r="G19" s="30">
        <v>20600</v>
      </c>
      <c r="H19" s="30">
        <v>20000</v>
      </c>
      <c r="I19" s="30">
        <v>600</v>
      </c>
    </row>
    <row r="20" spans="1:9">
      <c r="A20" s="23"/>
      <c r="B20" s="19" t="s">
        <v>49</v>
      </c>
      <c r="C20" s="19" t="s">
        <v>50</v>
      </c>
      <c r="D20" s="19" t="s">
        <v>15</v>
      </c>
      <c r="E20" s="41">
        <v>43159</v>
      </c>
      <c r="F20" s="41">
        <v>43159</v>
      </c>
      <c r="G20" s="30">
        <v>32310</v>
      </c>
      <c r="H20" s="30">
        <v>15000</v>
      </c>
      <c r="I20" s="30">
        <v>17310</v>
      </c>
    </row>
    <row r="21" spans="1:9">
      <c r="A21" s="23"/>
      <c r="B21" s="19" t="s">
        <v>49</v>
      </c>
      <c r="C21" s="19" t="s">
        <v>50</v>
      </c>
      <c r="D21" s="19" t="s">
        <v>15</v>
      </c>
      <c r="E21" s="41">
        <v>43190</v>
      </c>
      <c r="F21" s="41">
        <v>43190</v>
      </c>
      <c r="G21" s="30">
        <v>119330</v>
      </c>
      <c r="H21" s="30">
        <v>15000</v>
      </c>
      <c r="I21" s="30">
        <v>104330</v>
      </c>
    </row>
    <row r="22" spans="1:9">
      <c r="A22" s="23"/>
      <c r="B22" s="19" t="s">
        <v>49</v>
      </c>
      <c r="C22" s="19" t="s">
        <v>52</v>
      </c>
      <c r="D22" s="19" t="s">
        <v>15</v>
      </c>
      <c r="E22" s="41">
        <v>43159</v>
      </c>
      <c r="F22" s="41">
        <v>43159</v>
      </c>
      <c r="G22" s="30">
        <v>32310</v>
      </c>
      <c r="H22" s="30">
        <v>15000</v>
      </c>
      <c r="I22" s="30">
        <v>17310</v>
      </c>
    </row>
    <row r="23" spans="1:9">
      <c r="A23" s="23"/>
      <c r="B23" s="19" t="s">
        <v>49</v>
      </c>
      <c r="C23" s="19" t="s">
        <v>52</v>
      </c>
      <c r="D23" s="19" t="s">
        <v>15</v>
      </c>
      <c r="E23" s="41">
        <v>43190</v>
      </c>
      <c r="F23" s="41">
        <v>43190</v>
      </c>
      <c r="G23" s="30">
        <v>133830</v>
      </c>
      <c r="H23" s="30">
        <v>15000</v>
      </c>
      <c r="I23" s="30">
        <v>118830</v>
      </c>
    </row>
    <row r="24" spans="1:9">
      <c r="A24" s="23"/>
      <c r="B24" s="19" t="s">
        <v>49</v>
      </c>
      <c r="C24" s="19" t="s">
        <v>52</v>
      </c>
      <c r="D24" s="19" t="s">
        <v>46</v>
      </c>
      <c r="E24" s="41">
        <v>43799</v>
      </c>
      <c r="F24" s="41">
        <v>43799</v>
      </c>
      <c r="G24" s="22">
        <v>1253980</v>
      </c>
      <c r="H24" s="22">
        <v>134398</v>
      </c>
      <c r="I24" s="30">
        <f>G24-H24</f>
        <v>1119582</v>
      </c>
    </row>
    <row r="25" spans="1:9">
      <c r="A25" s="23"/>
      <c r="B25" s="19" t="s">
        <v>49</v>
      </c>
      <c r="C25" s="19" t="s">
        <v>52</v>
      </c>
      <c r="D25" s="19" t="s">
        <v>48</v>
      </c>
      <c r="E25" s="41">
        <v>43830</v>
      </c>
      <c r="F25" s="41">
        <v>43830</v>
      </c>
      <c r="G25" s="30">
        <v>34650</v>
      </c>
      <c r="H25" s="30">
        <v>15000</v>
      </c>
      <c r="I25" s="30">
        <v>19650</v>
      </c>
    </row>
    <row r="26" spans="1:9">
      <c r="A26" s="23"/>
      <c r="B26" s="19" t="s">
        <v>49</v>
      </c>
      <c r="C26" s="19" t="s">
        <v>52</v>
      </c>
      <c r="D26" s="19" t="s">
        <v>48</v>
      </c>
      <c r="E26" s="41">
        <v>43496</v>
      </c>
      <c r="F26" s="41">
        <v>43496</v>
      </c>
      <c r="G26" s="30">
        <v>70080</v>
      </c>
      <c r="H26" s="30">
        <v>15000</v>
      </c>
      <c r="I26" s="30">
        <v>55080</v>
      </c>
    </row>
    <row r="27" spans="1:9">
      <c r="A27" s="23"/>
      <c r="B27" s="19" t="s">
        <v>49</v>
      </c>
      <c r="C27" s="19" t="s">
        <v>52</v>
      </c>
      <c r="D27" s="19" t="s">
        <v>48</v>
      </c>
      <c r="E27" s="41">
        <v>43496</v>
      </c>
      <c r="F27" s="41">
        <v>43496</v>
      </c>
      <c r="G27" s="30">
        <v>203600</v>
      </c>
      <c r="H27" s="30">
        <v>15000</v>
      </c>
      <c r="I27" s="30">
        <v>188600</v>
      </c>
    </row>
    <row r="28" spans="1:9">
      <c r="A28" s="23"/>
      <c r="B28" s="19" t="s">
        <v>49</v>
      </c>
      <c r="C28" s="19" t="s">
        <v>52</v>
      </c>
      <c r="D28" s="19" t="s">
        <v>48</v>
      </c>
      <c r="E28" s="41">
        <v>43496</v>
      </c>
      <c r="F28" s="41">
        <v>43496</v>
      </c>
      <c r="G28" s="30">
        <v>38580</v>
      </c>
      <c r="H28" s="30">
        <v>15000</v>
      </c>
      <c r="I28" s="30">
        <v>23580</v>
      </c>
    </row>
    <row r="29" spans="1:9">
      <c r="A29" s="23"/>
      <c r="B29" s="19" t="s">
        <v>49</v>
      </c>
      <c r="C29" s="19" t="s">
        <v>52</v>
      </c>
      <c r="D29" s="19" t="s">
        <v>48</v>
      </c>
      <c r="E29" s="41">
        <v>43616</v>
      </c>
      <c r="F29" s="41">
        <v>43616</v>
      </c>
      <c r="G29" s="30">
        <v>26940</v>
      </c>
      <c r="H29" s="30">
        <v>15000</v>
      </c>
      <c r="I29" s="30">
        <v>11940</v>
      </c>
    </row>
    <row r="30" spans="1:9">
      <c r="A30" s="23"/>
      <c r="B30" s="19" t="s">
        <v>49</v>
      </c>
      <c r="C30" s="19" t="s">
        <v>52</v>
      </c>
      <c r="D30" s="19" t="s">
        <v>48</v>
      </c>
      <c r="E30" s="41">
        <v>43738</v>
      </c>
      <c r="F30" s="41">
        <v>43738</v>
      </c>
      <c r="G30" s="30">
        <v>130840</v>
      </c>
      <c r="H30" s="30">
        <v>15000</v>
      </c>
      <c r="I30" s="30">
        <v>115840</v>
      </c>
    </row>
    <row r="31" spans="1:9">
      <c r="A31" s="23"/>
      <c r="B31" s="19" t="s">
        <v>49</v>
      </c>
      <c r="C31" s="19" t="s">
        <v>52</v>
      </c>
      <c r="D31" s="19" t="s">
        <v>48</v>
      </c>
      <c r="E31" s="41">
        <v>43830</v>
      </c>
      <c r="F31" s="41">
        <v>43830</v>
      </c>
      <c r="G31" s="30">
        <v>40000</v>
      </c>
      <c r="H31" s="30">
        <v>15000</v>
      </c>
      <c r="I31" s="30">
        <v>25000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서식적용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O21"/>
  <sheetViews>
    <sheetView tabSelected="1" workbookViewId="0">
      <selection activeCell="K34" sqref="K34"/>
    </sheetView>
  </sheetViews>
  <sheetFormatPr defaultColWidth="9" defaultRowHeight="16.5"/>
  <cols>
    <col min="1" max="1" width="3.125" style="9" customWidth="1"/>
    <col min="2" max="3" width="9" style="6"/>
    <col min="4" max="4" width="9" style="7"/>
    <col min="5" max="5" width="9.5" style="7" customWidth="1"/>
    <col min="6" max="6" width="11.875" style="7" customWidth="1"/>
    <col min="7" max="7" width="11.125" style="8" bestFit="1" customWidth="1"/>
    <col min="8" max="8" width="5.625" style="9" customWidth="1"/>
    <col min="9" max="10" width="6.625" style="9" customWidth="1"/>
    <col min="11" max="11" width="11.75" style="9" customWidth="1"/>
    <col min="12" max="12" width="8.625" style="9" customWidth="1"/>
    <col min="13" max="13" width="10.375" style="9" bestFit="1" customWidth="1"/>
    <col min="14" max="16384" width="9" style="9"/>
  </cols>
  <sheetData>
    <row r="2" spans="2:15" ht="17.25" thickBot="1">
      <c r="B2" s="6" t="s">
        <v>103</v>
      </c>
      <c r="M2" s="6" t="s">
        <v>104</v>
      </c>
    </row>
    <row r="3" spans="2:15" ht="17.25" thickBot="1">
      <c r="B3" s="48" t="s">
        <v>22</v>
      </c>
      <c r="C3" s="48" t="s">
        <v>2</v>
      </c>
      <c r="D3" s="49" t="s">
        <v>105</v>
      </c>
      <c r="E3" s="49" t="s">
        <v>106</v>
      </c>
      <c r="F3" s="49" t="s">
        <v>107</v>
      </c>
      <c r="G3" s="50" t="s">
        <v>108</v>
      </c>
      <c r="H3" s="10"/>
      <c r="M3" s="51" t="s">
        <v>109</v>
      </c>
      <c r="N3" s="51" t="s">
        <v>2</v>
      </c>
      <c r="O3" s="51" t="s">
        <v>1</v>
      </c>
    </row>
    <row r="4" spans="2:15">
      <c r="B4" s="6" t="s">
        <v>115</v>
      </c>
      <c r="C4" s="6" t="s">
        <v>116</v>
      </c>
      <c r="D4" s="11">
        <v>3000</v>
      </c>
      <c r="E4" s="11">
        <v>2</v>
      </c>
      <c r="F4" s="11">
        <v>6000</v>
      </c>
      <c r="G4" s="12">
        <v>44011</v>
      </c>
      <c r="H4" s="10"/>
      <c r="M4" s="13" t="s">
        <v>110</v>
      </c>
      <c r="N4" s="13" t="s">
        <v>111</v>
      </c>
      <c r="O4" s="14">
        <v>5000</v>
      </c>
    </row>
    <row r="5" spans="2:15">
      <c r="D5" s="11"/>
      <c r="E5" s="11"/>
      <c r="F5" s="11"/>
      <c r="G5" s="12"/>
      <c r="H5" s="10"/>
      <c r="M5" s="13" t="s">
        <v>112</v>
      </c>
      <c r="N5" s="13" t="s">
        <v>113</v>
      </c>
      <c r="O5" s="14">
        <v>3000</v>
      </c>
    </row>
    <row r="6" spans="2:15">
      <c r="D6" s="11"/>
      <c r="E6" s="11"/>
      <c r="F6" s="11"/>
      <c r="G6" s="12"/>
      <c r="H6" s="10"/>
      <c r="M6" s="13" t="s">
        <v>114</v>
      </c>
      <c r="N6" s="13" t="s">
        <v>0</v>
      </c>
      <c r="O6" s="14">
        <v>1000</v>
      </c>
    </row>
    <row r="7" spans="2:15">
      <c r="G7" s="15"/>
      <c r="H7" s="10"/>
      <c r="N7" s="5"/>
      <c r="O7" s="5"/>
    </row>
    <row r="8" spans="2:15">
      <c r="G8" s="15"/>
      <c r="H8" s="10"/>
      <c r="N8" s="5"/>
      <c r="O8" s="5"/>
    </row>
    <row r="9" spans="2:15">
      <c r="G9" s="15"/>
      <c r="H9" s="10"/>
      <c r="N9" s="5"/>
      <c r="O9" s="5"/>
    </row>
    <row r="10" spans="2:15">
      <c r="G10" s="15"/>
      <c r="H10" s="10"/>
      <c r="N10" s="5"/>
      <c r="O10" s="5"/>
    </row>
    <row r="11" spans="2:15">
      <c r="G11" s="15"/>
      <c r="H11" s="10"/>
      <c r="N11" s="5"/>
      <c r="O11" s="5"/>
    </row>
    <row r="12" spans="2:15">
      <c r="G12" s="15"/>
      <c r="H12" s="10"/>
      <c r="N12" s="5"/>
      <c r="O12" s="5"/>
    </row>
    <row r="13" spans="2:15">
      <c r="H13" s="10"/>
    </row>
    <row r="14" spans="2:15">
      <c r="H14" s="10"/>
    </row>
    <row r="15" spans="2:15">
      <c r="H15" s="10"/>
    </row>
    <row r="16" spans="2:15">
      <c r="H16" s="10"/>
    </row>
    <row r="17" spans="8:8">
      <c r="H17" s="10"/>
    </row>
    <row r="18" spans="8:8">
      <c r="H18" s="10"/>
    </row>
    <row r="19" spans="8:8">
      <c r="H19" s="10"/>
    </row>
    <row r="20" spans="8:8">
      <c r="H20" s="10"/>
    </row>
    <row r="21" spans="8:8">
      <c r="H21" s="10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41" r:id="rId4" name="cmd입력">
          <controlPr defaultSize="0" autoLine="0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10</xdr:col>
                <xdr:colOff>885825</xdr:colOff>
                <xdr:row>5</xdr:row>
                <xdr:rowOff>9525</xdr:rowOff>
              </to>
            </anchor>
          </controlPr>
        </control>
      </mc:Choice>
      <mc:Fallback>
        <control shapeId="10241" r:id="rId4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컨버전스 디지털</cp:lastModifiedBy>
  <cp:lastPrinted>2020-08-30T05:59:28Z</cp:lastPrinted>
  <dcterms:created xsi:type="dcterms:W3CDTF">2020-06-30T13:14:02Z</dcterms:created>
  <dcterms:modified xsi:type="dcterms:W3CDTF">2024-03-13T04:00:01Z</dcterms:modified>
</cp:coreProperties>
</file>