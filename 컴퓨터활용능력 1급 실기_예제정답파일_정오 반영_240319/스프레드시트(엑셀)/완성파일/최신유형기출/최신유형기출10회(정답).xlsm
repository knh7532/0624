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innu\OneDrive\바탕 화면\본부장님전송\컴1급실기\컴활1급소스 및 완성 파일\완성 파일\최신유형기출\"/>
    </mc:Choice>
  </mc:AlternateContent>
  <xr:revisionPtr revIDLastSave="0" documentId="13_ncr:1_{0E298878-4407-4139-AE25-93A715DD7A49}" xr6:coauthVersionLast="47" xr6:coauthVersionMax="47" xr10:uidLastSave="{00000000-0000-0000-0000-000000000000}"/>
  <bookViews>
    <workbookView xWindow="28680" yWindow="2220" windowWidth="29040" windowHeight="16440" xr2:uid="{00000000-000D-0000-FFFF-FFFF00000000}"/>
  </bookViews>
  <sheets>
    <sheet name="기본작업-1" sheetId="9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6" r:id="rId6"/>
    <sheet name="기타작업-2" sheetId="10" r:id="rId7"/>
    <sheet name="기타작업-3" sheetId="7" r:id="rId8"/>
  </sheets>
  <functionGroups builtInGroupCount="19"/>
  <definedNames>
    <definedName name="_xlnm._FilterDatabase" localSheetId="0" hidden="1">'기본작업-1'!$B$2:$J$32</definedName>
    <definedName name="_xlnm._FilterDatabase" localSheetId="1" hidden="1">'기본작업-2'!$B$2:$J$32</definedName>
    <definedName name="_xlnm._FilterDatabase" localSheetId="4" hidden="1">'분석작업-2'!$B$2:$G$32</definedName>
    <definedName name="_xlnm.Criteria" localSheetId="0">'기본작업-1'!$B$34:$B$35</definedName>
    <definedName name="_xlnm.Criteria" localSheetId="1">'기본작업-2'!#REF!</definedName>
    <definedName name="_xlnm.Extract" localSheetId="0">'기본작업-1'!$B$37:$D$37</definedName>
    <definedName name="_xlnm.Extract" localSheetId="1">'기본작업-2'!#REF!</definedName>
    <definedName name="MS_Access_Database_Query" localSheetId="3" hidden="1">'분석작업-1'!#REF!</definedName>
    <definedName name="_xlnm.Print_Area" localSheetId="1">'기본작업-2'!$B$1:$J$32</definedName>
    <definedName name="_xlnm.Print_Titles" localSheetId="1">'기본작업-2'!$2:$2</definedName>
  </definedNames>
  <calcPr calcId="191029"/>
  <pivotCaches>
    <pivotCache cacheId="126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학생관리" name="학생관리" connection="학생관리"/>
        </x15:modelTables>
        <x15:extLst>
          <ext xmlns:x16="http://schemas.microsoft.com/office/spreadsheetml/2014/11/main" uri="{9835A34E-60A6-4A7C-AAB8-D5F71C897F49}">
            <x16:modelTimeGroupings>
              <x16:modelTimeGrouping tableName="학생관리" columnName="생년월일" columnId="생년월일">
                <x16:calculatedTimeColumn columnName="생년월일(연도)" columnId="생년월일(연도)" contentType="years" isSelected="1"/>
                <x16:calculatedTimeColumn columnName="생년월일(분기)" columnId="생년월일(분기)" contentType="quarters" isSelected="0"/>
                <x16:calculatedTimeColumn columnName="생년월일(월 인덱스)" columnId="생년월일(월 인덱스)" contentType="monthsindex" isSelected="0"/>
                <x16:calculatedTimeColumn columnName="생년월일(월)" columnId="생년월일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4" i="3"/>
  <c r="B35" i="9"/>
  <c r="J8" i="3" a="1"/>
  <c r="J10" i="3" a="1"/>
  <c r="J14" i="3" a="1"/>
  <c r="J16" i="3" a="1"/>
  <c r="J18" i="3" a="1"/>
  <c r="J22" i="3" a="1"/>
  <c r="J24" i="3" a="1"/>
  <c r="J28" i="3" a="1"/>
  <c r="J7" i="3" a="1"/>
  <c r="J13" i="3" a="1"/>
  <c r="J17" i="3" a="1"/>
  <c r="J21" i="3" a="1"/>
  <c r="J25" i="3" a="1"/>
  <c r="J6" i="3" a="1"/>
  <c r="J12" i="3" a="1"/>
  <c r="J20" i="3" a="1"/>
  <c r="J26" i="3" a="1"/>
  <c r="J5" i="3" a="1"/>
  <c r="J11" i="3" a="1"/>
  <c r="J15" i="3" a="1"/>
  <c r="J19" i="3" a="1"/>
  <c r="J23" i="3" a="1"/>
  <c r="J27" i="3" a="1"/>
  <c r="J4" i="3" a="1"/>
  <c r="J9" i="3" a="1"/>
  <c r="J27" i="3" l="1"/>
  <c r="J23" i="3"/>
  <c r="J19" i="3"/>
  <c r="J15" i="3"/>
  <c r="J11" i="3"/>
  <c r="J5" i="3"/>
  <c r="J26" i="3"/>
  <c r="J20" i="3"/>
  <c r="J12" i="3"/>
  <c r="J6" i="3"/>
  <c r="J25" i="3"/>
  <c r="J21" i="3"/>
  <c r="J17" i="3"/>
  <c r="J13" i="3"/>
  <c r="J9" i="3"/>
  <c r="J7" i="3"/>
  <c r="J28" i="3"/>
  <c r="J24" i="3"/>
  <c r="J22" i="3"/>
  <c r="J18" i="3"/>
  <c r="J16" i="3"/>
  <c r="J14" i="3"/>
  <c r="J10" i="3"/>
  <c r="J8" i="3"/>
  <c r="J4" i="3"/>
  <c r="N7" i="3" a="1"/>
  <c r="N7" i="3" s="1"/>
  <c r="O7" i="3" a="1"/>
  <c r="O7" i="3" s="1"/>
  <c r="P7" i="3" a="1"/>
  <c r="P7" i="3" s="1"/>
  <c r="Q7" i="3" a="1"/>
  <c r="Q7" i="3" s="1"/>
  <c r="R7" i="3" a="1"/>
  <c r="R7" i="3" s="1"/>
  <c r="M7" i="3" a="1"/>
  <c r="M7" i="3" s="1"/>
  <c r="N8" i="3" a="1"/>
  <c r="N8" i="3" s="1"/>
  <c r="O8" i="3" a="1"/>
  <c r="O8" i="3" s="1"/>
  <c r="P8" i="3" a="1"/>
  <c r="P8" i="3" s="1"/>
  <c r="Q8" i="3" a="1"/>
  <c r="Q8" i="3" s="1"/>
  <c r="R8" i="3" a="1"/>
  <c r="R8" i="3" s="1"/>
  <c r="M8" i="3" a="1"/>
  <c r="M8" i="3" s="1"/>
  <c r="N6" i="3"/>
  <c r="O6" i="3"/>
  <c r="P6" i="3"/>
  <c r="Q6" i="3"/>
  <c r="R6" i="3"/>
  <c r="M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학생관리.accdb;DefaultDir=C:\OA;DriverId=25;FIL=MS Access;MaxBufferSize=2048;PageTimeout=5;" command="SELECT 점수.생년월일, 점수.학과명, 점수.영어, 점수.논술, 점수.상식_x000d__x000a_FROM `C:\OA\학생관리.accdb`.점수 점수"/>
  </connection>
  <connection id="2" xr16:uid="{5DF17E07-D248-4F7C-9FFA-66904FE94C2D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B29AE06-FE2D-4E6E-B0F3-705C374B9653}" name="학생관리" type="103" refreshedVersion="8" minRefreshableVersion="5">
    <extLst>
      <ext xmlns:x15="http://schemas.microsoft.com/office/spreadsheetml/2010/11/main" uri="{DE250136-89BD-433C-8126-D09CA5730AF9}">
        <x15:connection id="학생관리" autoDelete="1">
          <x15:textPr prompt="0" codePage="949" sourceFile="C:\컴활1급소스 및 완성 파일\소스 파일\최신유형기출\학생관리.csv" tab="0" comma="1">
            <textFields count="8">
              <textField/>
              <textField/>
              <textField type="skip"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<sst xmlns="http://schemas.openxmlformats.org/spreadsheetml/2006/main" count="631" uniqueCount="125">
  <si>
    <t>[표1]</t>
    <phoneticPr fontId="1" type="noConversion"/>
  </si>
  <si>
    <t>학번</t>
  </si>
  <si>
    <t>이름</t>
  </si>
  <si>
    <t>생년월일</t>
  </si>
  <si>
    <t>학과명</t>
  </si>
  <si>
    <t>담당교수</t>
  </si>
  <si>
    <t>평가</t>
  </si>
  <si>
    <t>영문학과</t>
  </si>
  <si>
    <t>B</t>
  </si>
  <si>
    <t>C</t>
  </si>
  <si>
    <t>A</t>
  </si>
  <si>
    <t>B</t>
    <phoneticPr fontId="1" type="noConversion"/>
  </si>
  <si>
    <t>학과코드</t>
  </si>
  <si>
    <t>평가</t>
    <phoneticPr fontId="1" type="noConversion"/>
  </si>
  <si>
    <t>비고</t>
    <phoneticPr fontId="1" type="noConversion"/>
  </si>
  <si>
    <t>[표2]</t>
    <phoneticPr fontId="1" type="noConversion"/>
  </si>
  <si>
    <t>조건</t>
    <phoneticPr fontId="1" type="noConversion"/>
  </si>
  <si>
    <t>학생수</t>
    <phoneticPr fontId="1" type="noConversion"/>
  </si>
  <si>
    <t>[표3]</t>
    <phoneticPr fontId="1" type="noConversion"/>
  </si>
  <si>
    <t>평균</t>
    <phoneticPr fontId="1" type="noConversion"/>
  </si>
  <si>
    <t>F</t>
    <phoneticPr fontId="1" type="noConversion"/>
  </si>
  <si>
    <t>D</t>
    <phoneticPr fontId="1" type="noConversion"/>
  </si>
  <si>
    <t>C</t>
    <phoneticPr fontId="1" type="noConversion"/>
  </si>
  <si>
    <t>A</t>
    <phoneticPr fontId="1" type="noConversion"/>
  </si>
  <si>
    <t>윤보라</t>
  </si>
  <si>
    <t>010-2848-2818</t>
  </si>
  <si>
    <t>유재우</t>
  </si>
  <si>
    <t>010-4827-1123</t>
  </si>
  <si>
    <t>인정제</t>
  </si>
  <si>
    <t>010-1837-8221</t>
  </si>
  <si>
    <t>이원섭</t>
  </si>
  <si>
    <t>010-3847-2812</t>
  </si>
  <si>
    <t>이충희</t>
  </si>
  <si>
    <t>010-4727-8492</t>
  </si>
  <si>
    <t>심지영</t>
  </si>
  <si>
    <t>010-4739-3755</t>
  </si>
  <si>
    <t>김주희</t>
  </si>
  <si>
    <t>010-3857-9922</t>
  </si>
  <si>
    <t>안은민</t>
  </si>
  <si>
    <t>010-4850-0212</t>
  </si>
  <si>
    <t>윤태성</t>
  </si>
  <si>
    <t>010-3009-2721</t>
  </si>
  <si>
    <t>김도현</t>
  </si>
  <si>
    <t>010-4585-1048</t>
  </si>
  <si>
    <t>김원종</t>
  </si>
  <si>
    <t>010-2524-4821</t>
  </si>
  <si>
    <t>최재석</t>
  </si>
  <si>
    <t>010-5206-3827</t>
  </si>
  <si>
    <t>김한솔</t>
  </si>
  <si>
    <t>010-4872-2727</t>
  </si>
  <si>
    <t>송정철</t>
  </si>
  <si>
    <t>010-1111-3352</t>
  </si>
  <si>
    <t>김준섭</t>
  </si>
  <si>
    <t>010-4857-2727</t>
  </si>
  <si>
    <t>박제현</t>
  </si>
  <si>
    <t>010-4422-0121</t>
  </si>
  <si>
    <t>배무현</t>
  </si>
  <si>
    <t>010-1038-3852</t>
  </si>
  <si>
    <t>김민환</t>
  </si>
  <si>
    <t>010-9382-2847</t>
  </si>
  <si>
    <t>하인화</t>
  </si>
  <si>
    <t>010-3822-2222</t>
  </si>
  <si>
    <t>이병열</t>
  </si>
  <si>
    <t>010-2424-3828</t>
  </si>
  <si>
    <t>박승진</t>
  </si>
  <si>
    <t>010-3827-4747</t>
  </si>
  <si>
    <t>심영섭</t>
  </si>
  <si>
    <t>010-5222-3232</t>
  </si>
  <si>
    <t>김기웅</t>
  </si>
  <si>
    <t>010-3938-5953</t>
  </si>
  <si>
    <t>이미라</t>
  </si>
  <si>
    <t>010-3399-4721</t>
  </si>
  <si>
    <t>김재홍</t>
  </si>
  <si>
    <t>010-4827-2629</t>
  </si>
  <si>
    <t>박정진</t>
  </si>
  <si>
    <t>박도훈</t>
  </si>
  <si>
    <t>박호석</t>
  </si>
  <si>
    <t>이형태</t>
  </si>
  <si>
    <t>신해나</t>
  </si>
  <si>
    <t>IT융합과</t>
    <phoneticPr fontId="1" type="noConversion"/>
  </si>
  <si>
    <t>중문학과</t>
    <phoneticPr fontId="1" type="noConversion"/>
  </si>
  <si>
    <t>화학과</t>
    <phoneticPr fontId="1" type="noConversion"/>
  </si>
  <si>
    <t>경영학과</t>
  </si>
  <si>
    <t>김정순</t>
  </si>
  <si>
    <t>IT융합과</t>
  </si>
  <si>
    <t>황효진</t>
  </si>
  <si>
    <t>중문학과</t>
  </si>
  <si>
    <t>박미라</t>
  </si>
  <si>
    <t>전진욱</t>
  </si>
  <si>
    <t>화학과</t>
  </si>
  <si>
    <t>김대웅</t>
  </si>
  <si>
    <t>물리학과</t>
  </si>
  <si>
    <t>황준호</t>
  </si>
  <si>
    <t>영어</t>
    <phoneticPr fontId="1" type="noConversion"/>
  </si>
  <si>
    <t>논술</t>
    <phoneticPr fontId="1" type="noConversion"/>
  </si>
  <si>
    <t>상식</t>
    <phoneticPr fontId="1" type="noConversion"/>
  </si>
  <si>
    <t>상식</t>
    <phoneticPr fontId="1" type="noConversion"/>
  </si>
  <si>
    <t>경영학과</t>
    <phoneticPr fontId="1" type="noConversion"/>
  </si>
  <si>
    <t>영문학과</t>
    <phoneticPr fontId="1" type="noConversion"/>
  </si>
  <si>
    <t>물리학과</t>
    <phoneticPr fontId="1" type="noConversion"/>
  </si>
  <si>
    <t>상식</t>
    <phoneticPr fontId="1" type="noConversion"/>
  </si>
  <si>
    <t>연락처</t>
    <phoneticPr fontId="1" type="noConversion"/>
  </si>
  <si>
    <t>학과명</t>
    <phoneticPr fontId="1" type="noConversion"/>
  </si>
  <si>
    <t>영어</t>
    <phoneticPr fontId="1" type="noConversion"/>
  </si>
  <si>
    <t>논술</t>
    <phoneticPr fontId="1" type="noConversion"/>
  </si>
  <si>
    <t>상식</t>
    <phoneticPr fontId="1" type="noConversion"/>
  </si>
  <si>
    <t>영어최고</t>
    <phoneticPr fontId="1" type="noConversion"/>
  </si>
  <si>
    <t>상식평균</t>
    <phoneticPr fontId="1" type="noConversion"/>
  </si>
  <si>
    <t>총합계</t>
  </si>
  <si>
    <t>박동원</t>
  </si>
  <si>
    <t>입학년도</t>
    <phoneticPr fontId="1" type="noConversion"/>
  </si>
  <si>
    <t>고유번호</t>
    <phoneticPr fontId="1" type="noConversion"/>
  </si>
  <si>
    <t>1994</t>
  </si>
  <si>
    <t>1996</t>
  </si>
  <si>
    <t>1997</t>
  </si>
  <si>
    <t>1998</t>
  </si>
  <si>
    <t>1999</t>
  </si>
  <si>
    <t>2000</t>
  </si>
  <si>
    <t>2001</t>
  </si>
  <si>
    <t>1995</t>
  </si>
  <si>
    <t>2002</t>
  </si>
  <si>
    <t>평균: 영어</t>
  </si>
  <si>
    <t>평균: 논술</t>
  </si>
  <si>
    <t>평균: 상식</t>
  </si>
  <si>
    <t>20201111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</si>
</sst>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_ "/>
    <numFmt numFmtId="178" formatCode="[Cyan][&gt;=90]&quot;A&quot;;General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 wrapText="1"/>
    </xf>
    <xf numFmtId="0" fontId="2" fillId="3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right" wrapText="1"/>
    </xf>
    <xf numFmtId="0" fontId="2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3" borderId="2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 wrapText="1"/>
    </xf>
    <xf numFmtId="14" fontId="3" fillId="0" borderId="2" xfId="0" applyNumberFormat="1" applyFont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right" wrapText="1"/>
    </xf>
    <xf numFmtId="0" fontId="3" fillId="0" borderId="5" xfId="0" applyFont="1" applyBorder="1" applyAlignment="1">
      <alignment horizontal="center" wrapText="1"/>
    </xf>
    <xf numFmtId="0" fontId="3" fillId="0" borderId="5" xfId="0" applyFont="1" applyBorder="1" applyAlignment="1">
      <alignment wrapText="1"/>
    </xf>
    <xf numFmtId="0" fontId="3" fillId="0" borderId="5" xfId="0" applyFont="1" applyBorder="1" applyAlignment="1">
      <alignment horizontal="right" wrapText="1"/>
    </xf>
    <xf numFmtId="0" fontId="3" fillId="2" borderId="6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wrapText="1"/>
    </xf>
    <xf numFmtId="176" fontId="4" fillId="0" borderId="2" xfId="0" applyNumberFormat="1" applyFont="1" applyBorder="1" applyAlignment="1">
      <alignment horizontal="center" wrapText="1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5" fillId="4" borderId="2" xfId="0" applyFont="1" applyFill="1" applyBorder="1" applyAlignment="1">
      <alignment horizontal="center"/>
    </xf>
    <xf numFmtId="178" fontId="0" fillId="0" borderId="2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표준" xfId="0" builtinId="0"/>
  </cellStyles>
  <dxfs count="6">
    <dxf>
      <numFmt numFmtId="177" formatCode="0.0_ "/>
    </dxf>
    <dxf>
      <font>
        <color rgb="FF9C0006"/>
      </font>
    </dxf>
    <dxf>
      <font>
        <b/>
        <i val="0"/>
      </font>
      <fill>
        <patternFill>
          <bgColor rgb="FFFFC000"/>
        </patternFill>
      </fill>
    </dxf>
    <dxf>
      <numFmt numFmtId="177" formatCode="0.0_ "/>
    </dxf>
    <dxf>
      <fill>
        <patternFill patternType="solid">
          <fgColor rgb="FF9C0006"/>
          <bgColor rgb="FFFFFFFF"/>
        </patternFill>
      </fill>
    </dxf>
    <dxf>
      <numFmt numFmtId="177" formatCode="0.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>
                <a:latin typeface="굴림" panose="020B0600000101010101" pitchFamily="50" charset="-127"/>
                <a:ea typeface="굴림" panose="020B0600000101010101" pitchFamily="50" charset="-127"/>
              </a:defRPr>
            </a:pPr>
            <a:r>
              <a:rPr lang="ko-KR" altLang="en-US" sz="1500">
                <a:latin typeface="굴림" panose="020B0600000101010101" pitchFamily="50" charset="-127"/>
                <a:ea typeface="굴림" panose="020B0600000101010101" pitchFamily="50" charset="-127"/>
              </a:rPr>
              <a:t>경영학과</a:t>
            </a:r>
            <a:r>
              <a:rPr lang="en-US" altLang="ko-KR" sz="1500">
                <a:latin typeface="굴림" panose="020B0600000101010101" pitchFamily="50" charset="-127"/>
                <a:ea typeface="굴림" panose="020B0600000101010101" pitchFamily="50" charset="-127"/>
              </a:rPr>
              <a:t>/</a:t>
            </a:r>
            <a:r>
              <a:rPr lang="ko-KR" altLang="en-US" sz="1500">
                <a:latin typeface="굴림" panose="020B0600000101010101" pitchFamily="50" charset="-127"/>
                <a:ea typeface="굴림" panose="020B0600000101010101" pitchFamily="50" charset="-127"/>
              </a:rPr>
              <a:t>영문학과 성적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영어</c:v>
                </c:pt>
              </c:strCache>
            </c:strRef>
          </c:tx>
          <c:invertIfNegative val="0"/>
          <c:cat>
            <c:strRef>
              <c:f>('기타작업-1'!$C$3,'기타작업-1'!$C$6,'기타작업-1'!$C$9,'기타작업-1'!$C$12)</c:f>
              <c:strCache>
                <c:ptCount val="4"/>
                <c:pt idx="0">
                  <c:v>윤보라</c:v>
                </c:pt>
                <c:pt idx="1">
                  <c:v>이원섭</c:v>
                </c:pt>
                <c:pt idx="2">
                  <c:v>김주희</c:v>
                </c:pt>
                <c:pt idx="3">
                  <c:v>김도현</c:v>
                </c:pt>
              </c:strCache>
            </c:strRef>
          </c:cat>
          <c:val>
            <c:numRef>
              <c:f>('기타작업-1'!$E$3,'기타작업-1'!$E$6,'기타작업-1'!$E$9,'기타작업-1'!$E$12)</c:f>
              <c:numCache>
                <c:formatCode>General</c:formatCode>
                <c:ptCount val="4"/>
                <c:pt idx="0">
                  <c:v>94</c:v>
                </c:pt>
                <c:pt idx="1">
                  <c:v>89</c:v>
                </c:pt>
                <c:pt idx="2">
                  <c:v>89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77-4930-B895-7E765AEEF26A}"/>
            </c:ext>
          </c:extLst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논술</c:v>
                </c:pt>
              </c:strCache>
            </c:strRef>
          </c:tx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77-4930-B895-7E765AEEF26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trendlineType val="movingAvg"/>
            <c:period val="3"/>
            <c:dispRSqr val="0"/>
            <c:dispEq val="0"/>
          </c:trendline>
          <c:cat>
            <c:strRef>
              <c:f>('기타작업-1'!$C$3,'기타작업-1'!$C$6,'기타작업-1'!$C$9,'기타작업-1'!$C$12)</c:f>
              <c:strCache>
                <c:ptCount val="4"/>
                <c:pt idx="0">
                  <c:v>윤보라</c:v>
                </c:pt>
                <c:pt idx="1">
                  <c:v>이원섭</c:v>
                </c:pt>
                <c:pt idx="2">
                  <c:v>김주희</c:v>
                </c:pt>
                <c:pt idx="3">
                  <c:v>김도현</c:v>
                </c:pt>
              </c:strCache>
            </c:strRef>
          </c:cat>
          <c:val>
            <c:numRef>
              <c:f>('기타작업-1'!$F$3,'기타작업-1'!$F$6,'기타작업-1'!$F$9,'기타작업-1'!$F$12)</c:f>
              <c:numCache>
                <c:formatCode>General</c:formatCode>
                <c:ptCount val="4"/>
                <c:pt idx="0">
                  <c:v>72</c:v>
                </c:pt>
                <c:pt idx="1">
                  <c:v>99</c:v>
                </c:pt>
                <c:pt idx="2">
                  <c:v>82</c:v>
                </c:pt>
                <c:pt idx="3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77-4930-B895-7E765AEEF26A}"/>
            </c:ext>
          </c:extLst>
        </c:ser>
        <c:ser>
          <c:idx val="2"/>
          <c:order val="2"/>
          <c:tx>
            <c:strRef>
              <c:f>'기타작업-1'!$G$2</c:f>
              <c:strCache>
                <c:ptCount val="1"/>
                <c:pt idx="0">
                  <c:v>상식</c:v>
                </c:pt>
              </c:strCache>
            </c:strRef>
          </c:tx>
          <c:invertIfNegative val="0"/>
          <c:cat>
            <c:strRef>
              <c:f>('기타작업-1'!$C$3,'기타작업-1'!$C$6,'기타작업-1'!$C$9,'기타작업-1'!$C$12)</c:f>
              <c:strCache>
                <c:ptCount val="4"/>
                <c:pt idx="0">
                  <c:v>윤보라</c:v>
                </c:pt>
                <c:pt idx="1">
                  <c:v>이원섭</c:v>
                </c:pt>
                <c:pt idx="2">
                  <c:v>김주희</c:v>
                </c:pt>
                <c:pt idx="3">
                  <c:v>김도현</c:v>
                </c:pt>
              </c:strCache>
            </c:strRef>
          </c:cat>
          <c:val>
            <c:numRef>
              <c:f>('기타작업-1'!$G$3,'기타작업-1'!$G$6,'기타작업-1'!$G$9,'기타작업-1'!$G$12)</c:f>
              <c:numCache>
                <c:formatCode>General</c:formatCode>
                <c:ptCount val="4"/>
                <c:pt idx="0">
                  <c:v>66</c:v>
                </c:pt>
                <c:pt idx="1">
                  <c:v>92</c:v>
                </c:pt>
                <c:pt idx="2">
                  <c:v>98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77-4930-B895-7E765AEE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1808"/>
        <c:axId val="126393728"/>
      </c:barChart>
      <c:catAx>
        <c:axId val="126391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6393728"/>
        <c:crosses val="autoZero"/>
        <c:auto val="1"/>
        <c:lblAlgn val="ctr"/>
        <c:lblOffset val="100"/>
        <c:noMultiLvlLbl val="0"/>
      </c:catAx>
      <c:valAx>
        <c:axId val="12639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391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rgbClr val="00B05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A등급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막대보기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161925</xdr:rowOff>
        </xdr:from>
        <xdr:to>
          <xdr:col>9</xdr:col>
          <xdr:colOff>657225</xdr:colOff>
          <xdr:row>3</xdr:row>
          <xdr:rowOff>0</xdr:rowOff>
        </xdr:to>
        <xdr:sp macro="" textlink="">
          <xdr:nvSpPr>
            <xdr:cNvPr id="2049" name="cmd성적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김진원" refreshedDate="45238.450790162038" backgroundQuery="1" createdVersion="8" refreshedVersion="8" minRefreshableVersion="3" recordCount="0" supportSubquery="1" supportAdvancedDrill="1" xr:uid="{30333A5F-2CB9-4151-A429-F6DBAE976B89}">
  <cacheSource type="external" connectionId="2"/>
  <cacheFields count="5">
    <cacheField name="[학생관리].[학과명].[학과명]" caption="학과명" numFmtId="0" hierarchy="1" level="1">
      <sharedItems count="6">
        <s v="IT융합과"/>
        <s v="경영학과"/>
        <s v="물리학과"/>
        <s v="영문학과"/>
        <s v="중문학과"/>
        <s v="화학과"/>
      </sharedItems>
    </cacheField>
    <cacheField name="[학생관리].[생년월일(연도)].[생년월일(연도)]" caption="생년월일(연도)" numFmtId="0" hierarchy="5" level="1">
      <sharedItems count="9">
        <s v="1994"/>
        <s v="1996"/>
        <s v="1997"/>
        <s v="1998"/>
        <s v="1999"/>
        <s v="2000"/>
        <s v="2001"/>
        <s v="1995"/>
        <s v="2002"/>
      </sharedItems>
    </cacheField>
    <cacheField name="[Measures].[평균: 영어]" caption="평균: 영어" numFmtId="0" hierarchy="14" level="32767"/>
    <cacheField name="[Measures].[평균: 논술]" caption="평균: 논술" numFmtId="0" hierarchy="15" level="32767"/>
    <cacheField name="[Measures].[평균: 상식]" caption="평균: 상식" numFmtId="0" hierarchy="16" level="32767"/>
  </cacheFields>
  <cacheHierarchies count="17">
    <cacheHierarchy uniqueName="[학생관리].[생년월일]" caption="생년월일" attribute="1" time="1" defaultMemberUniqueName="[학생관리].[생년월일].[All]" allUniqueName="[학생관리].[생년월일].[All]" dimensionUniqueName="[학생관리]" displayFolder="" count="2" memberValueDatatype="7" unbalanced="0"/>
    <cacheHierarchy uniqueName="[학생관리].[학과명]" caption="학과명" attribute="1" defaultMemberUniqueName="[학생관리].[학과명].[All]" allUniqueName="[학생관리].[학과명].[All]" dimensionUniqueName="[학생관리]" displayFolder="" count="2" memberValueDatatype="130" unbalanced="0">
      <fieldsUsage count="2">
        <fieldUsage x="-1"/>
        <fieldUsage x="0"/>
      </fieldsUsage>
    </cacheHierarchy>
    <cacheHierarchy uniqueName="[학생관리].[영어]" caption="영어" attribute="1" defaultMemberUniqueName="[학생관리].[영어].[All]" allUniqueName="[학생관리].[영어].[All]" dimensionUniqueName="[학생관리]" displayFolder="" count="0" memberValueDatatype="20" unbalanced="0"/>
    <cacheHierarchy uniqueName="[학생관리].[논술]" caption="논술" attribute="1" defaultMemberUniqueName="[학생관리].[논술].[All]" allUniqueName="[학생관리].[논술].[All]" dimensionUniqueName="[학생관리]" displayFolder="" count="0" memberValueDatatype="20" unbalanced="0"/>
    <cacheHierarchy uniqueName="[학생관리].[상식]" caption="상식" attribute="1" defaultMemberUniqueName="[학생관리].[상식].[All]" allUniqueName="[학생관리].[상식].[All]" dimensionUniqueName="[학생관리]" displayFolder="" count="0" memberValueDatatype="20" unbalanced="0"/>
    <cacheHierarchy uniqueName="[학생관리].[생년월일(연도)]" caption="생년월일(연도)" attribute="1" defaultMemberUniqueName="[학생관리].[생년월일(연도)].[All]" allUniqueName="[학생관리].[생년월일(연도)].[All]" dimensionUniqueName="[학생관리]" displayFolder="" count="2" memberValueDatatype="130" unbalanced="0">
      <fieldsUsage count="2">
        <fieldUsage x="-1"/>
        <fieldUsage x="1"/>
      </fieldsUsage>
    </cacheHierarchy>
    <cacheHierarchy uniqueName="[학생관리].[생년월일(분기)]" caption="생년월일(분기)" attribute="1" defaultMemberUniqueName="[학생관리].[생년월일(분기)].[All]" allUniqueName="[학생관리].[생년월일(분기)].[All]" dimensionUniqueName="[학생관리]" displayFolder="" count="2" memberValueDatatype="130" unbalanced="0"/>
    <cacheHierarchy uniqueName="[학생관리].[생년월일(월)]" caption="생년월일(월)" attribute="1" defaultMemberUniqueName="[학생관리].[생년월일(월)].[All]" allUniqueName="[학생관리].[생년월일(월)].[All]" dimensionUniqueName="[학생관리]" displayFolder="" count="2" memberValueDatatype="130" unbalanced="0"/>
    <cacheHierarchy uniqueName="[학생관리].[생년월일(월 인덱스)]" caption="생년월일(월 인덱스)" attribute="1" defaultMemberUniqueName="[학생관리].[생년월일(월 인덱스)].[All]" allUniqueName="[학생관리].[생년월일(월 인덱스)].[All]" dimensionUniqueName="[학생관리]" displayFolder="" count="0" memberValueDatatype="20" unbalanced="0" hidden="1"/>
    <cacheHierarchy uniqueName="[Measures].[__XL_Count 학생관리]" caption="__XL_Count 학생관리" measure="1" displayFolder="" measureGroup="학생관리" count="0" hidden="1"/>
    <cacheHierarchy uniqueName="[Measures].[__No measures defined]" caption="__No measures defined" measure="1" displayFolder="" count="0" hidden="1"/>
    <cacheHierarchy uniqueName="[Measures].[합계: 영어]" caption="합계: 영어" measure="1" displayFolder="" measureGroup="학생관리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논술]" caption="합계: 논술" measure="1" displayFolder="" measureGroup="학생관리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상식]" caption="합계: 상식" measure="1" displayFolder="" measureGroup="학생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영어]" caption="평균: 영어" measure="1" displayFolder="" measureGroup="학생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논술]" caption="평균: 논술" measure="1" displayFolder="" measureGroup="학생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상식]" caption="평균: 상식" measure="1" displayFolder="" measureGroup="학생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학생관리" uniqueName="[학생관리]" caption="학생관리"/>
  </dimensions>
  <measureGroups count="1">
    <measureGroup name="학생관리" caption="학생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8D9E58-AFA5-45DF-A693-113FE0407DAD}" name="피벗 테이블2" cacheId="126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B2:F28" firstHeaderRow="0" firstDataRow="1" firstDataCol="2"/>
  <pivotFields count="5">
    <pivotField axis="axisRow" compact="0" allDrilled="1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name="생년월일" axis="axisRow" compact="0" allDrilled="1" showAll="0" dataSourceSort="1" defaultSubtotal="0">
      <items count="9">
        <item x="0" e="0"/>
        <item x="1" e="0"/>
        <item x="2" e="0"/>
        <item x="3" e="0"/>
        <item x="4" e="0"/>
        <item x="5" e="0"/>
        <item x="6" e="0"/>
        <item x="7" e="0"/>
        <item x="8" e="0"/>
      </items>
    </pivotField>
    <pivotField dataField="1" compact="0" showAll="0" defaultSubtotal="0"/>
    <pivotField dataField="1" compact="0" showAll="0" defaultSubtotal="0"/>
    <pivotField dataField="1" compact="0" showAll="0" defaultSubtotal="0"/>
  </pivotFields>
  <rowFields count="2">
    <field x="0"/>
    <field x="1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 v="2"/>
    </i>
    <i r="1">
      <x v="4"/>
    </i>
    <i r="1">
      <x v="5"/>
    </i>
    <i r="1">
      <x v="6"/>
    </i>
    <i>
      <x v="2"/>
    </i>
    <i r="1">
      <x v="2"/>
    </i>
    <i r="1">
      <x v="3"/>
    </i>
    <i>
      <x v="3"/>
    </i>
    <i r="1">
      <x v="7"/>
    </i>
    <i r="1">
      <x v="1"/>
    </i>
    <i r="1">
      <x v="3"/>
    </i>
    <i>
      <x v="4"/>
    </i>
    <i r="1">
      <x v="3"/>
    </i>
    <i r="1">
      <x v="4"/>
    </i>
    <i r="1">
      <x v="6"/>
    </i>
    <i r="1">
      <x v="8"/>
    </i>
    <i>
      <x v="5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: 영어" fld="2" subtotal="average" baseField="0" baseItem="0"/>
    <dataField name="평균: 논술" fld="3" subtotal="average" baseField="0" baseItem="0"/>
    <dataField name="평균: 상식" fld="4" subtotal="average" baseField="0" baseItem="0"/>
  </dataFields>
  <formats count="1">
    <format dxfId="0">
      <pivotArea outline="0" collapsedLevelsAreSubtotals="1" fieldPosition="0"/>
    </format>
  </format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평균: 영어"/>
    <pivotHierarchy dragToData="1" caption="평균: 논술"/>
    <pivotHierarchy dragToData="1" caption="평균: 상식"/>
  </pivotHierarchies>
  <pivotTableStyleInfo name="PivotStyleMedium2" showRowHeaders="1" showColHeaders="1" showRowStripes="0" showColStripes="0" showLastColumn="1"/>
  <rowHierarchiesUsage count="2">
    <rowHierarchyUsage hierarchyUsage="1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학생관리">
        <x15:activeTabTopLevelEntity name="[학생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45"/>
  <sheetViews>
    <sheetView tabSelected="1" workbookViewId="0">
      <selection activeCell="B1" sqref="B1"/>
    </sheetView>
  </sheetViews>
  <sheetFormatPr defaultRowHeight="16.5" x14ac:dyDescent="0.3"/>
  <cols>
    <col min="1" max="1" width="2" customWidth="1"/>
    <col min="2" max="2" width="11.375" customWidth="1"/>
    <col min="3" max="3" width="10.375" customWidth="1"/>
    <col min="4" max="4" width="13.125" customWidth="1"/>
    <col min="5" max="5" width="14.375" customWidth="1"/>
    <col min="6" max="6" width="12.25" customWidth="1"/>
  </cols>
  <sheetData>
    <row r="1" spans="1:10" x14ac:dyDescent="0.3">
      <c r="A1" s="1"/>
      <c r="B1" s="1" t="s">
        <v>0</v>
      </c>
      <c r="C1" s="1"/>
      <c r="D1" s="1"/>
      <c r="E1" s="1"/>
      <c r="F1" s="1"/>
      <c r="G1" s="1"/>
      <c r="H1" s="1"/>
      <c r="I1" s="1"/>
      <c r="J1" s="2"/>
    </row>
    <row r="2" spans="1:10" x14ac:dyDescent="0.3">
      <c r="A2" s="1"/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  <c r="G2" s="17" t="s">
        <v>93</v>
      </c>
      <c r="H2" s="17" t="s">
        <v>94</v>
      </c>
      <c r="I2" s="17" t="s">
        <v>95</v>
      </c>
      <c r="J2" s="17" t="s">
        <v>6</v>
      </c>
    </row>
    <row r="3" spans="1:10" x14ac:dyDescent="0.3">
      <c r="A3" s="1"/>
      <c r="B3" s="14">
        <v>17101001</v>
      </c>
      <c r="C3" s="14" t="s">
        <v>24</v>
      </c>
      <c r="D3" s="15">
        <v>35671</v>
      </c>
      <c r="E3" s="14" t="s">
        <v>82</v>
      </c>
      <c r="F3" s="16" t="s">
        <v>83</v>
      </c>
      <c r="G3" s="16">
        <v>94</v>
      </c>
      <c r="H3" s="16">
        <v>72</v>
      </c>
      <c r="I3" s="16">
        <v>66</v>
      </c>
      <c r="J3" s="16" t="s">
        <v>9</v>
      </c>
    </row>
    <row r="4" spans="1:10" x14ac:dyDescent="0.3">
      <c r="A4" s="1"/>
      <c r="B4" s="14">
        <v>18102030</v>
      </c>
      <c r="C4" s="14" t="s">
        <v>26</v>
      </c>
      <c r="D4" s="15">
        <v>35968</v>
      </c>
      <c r="E4" s="14" t="s">
        <v>84</v>
      </c>
      <c r="F4" s="16" t="s">
        <v>85</v>
      </c>
      <c r="G4" s="16">
        <v>100</v>
      </c>
      <c r="H4" s="16">
        <v>74</v>
      </c>
      <c r="I4" s="16">
        <v>67</v>
      </c>
      <c r="J4" s="16" t="s">
        <v>8</v>
      </c>
    </row>
    <row r="5" spans="1:10" x14ac:dyDescent="0.3">
      <c r="A5" s="1"/>
      <c r="B5" s="14">
        <v>19103022</v>
      </c>
      <c r="C5" s="14" t="s">
        <v>28</v>
      </c>
      <c r="D5" s="15">
        <v>36284</v>
      </c>
      <c r="E5" s="14" t="s">
        <v>86</v>
      </c>
      <c r="F5" s="16" t="s">
        <v>87</v>
      </c>
      <c r="G5" s="16">
        <v>64</v>
      </c>
      <c r="H5" s="16">
        <v>100</v>
      </c>
      <c r="I5" s="16">
        <v>84</v>
      </c>
      <c r="J5" s="16" t="s">
        <v>8</v>
      </c>
    </row>
    <row r="6" spans="1:10" x14ac:dyDescent="0.3">
      <c r="A6" s="1"/>
      <c r="B6" s="14">
        <v>17104020</v>
      </c>
      <c r="C6" s="14" t="s">
        <v>30</v>
      </c>
      <c r="D6" s="15">
        <v>35038</v>
      </c>
      <c r="E6" s="14" t="s">
        <v>7</v>
      </c>
      <c r="F6" s="16" t="s">
        <v>88</v>
      </c>
      <c r="G6" s="16">
        <v>89</v>
      </c>
      <c r="H6" s="16">
        <v>99</v>
      </c>
      <c r="I6" s="16">
        <v>92</v>
      </c>
      <c r="J6" s="16" t="s">
        <v>10</v>
      </c>
    </row>
    <row r="7" spans="1:10" x14ac:dyDescent="0.3">
      <c r="A7" s="1"/>
      <c r="B7" s="14">
        <v>18105035</v>
      </c>
      <c r="C7" s="14" t="s">
        <v>32</v>
      </c>
      <c r="D7" s="15">
        <v>35464</v>
      </c>
      <c r="E7" s="14" t="s">
        <v>89</v>
      </c>
      <c r="F7" s="16" t="s">
        <v>90</v>
      </c>
      <c r="G7" s="16">
        <v>63</v>
      </c>
      <c r="H7" s="16">
        <v>83</v>
      </c>
      <c r="I7" s="16">
        <v>69</v>
      </c>
      <c r="J7" s="16" t="s">
        <v>9</v>
      </c>
    </row>
    <row r="8" spans="1:10" x14ac:dyDescent="0.3">
      <c r="A8" s="1"/>
      <c r="B8" s="14">
        <v>19106081</v>
      </c>
      <c r="C8" s="14" t="s">
        <v>34</v>
      </c>
      <c r="D8" s="15">
        <v>35917</v>
      </c>
      <c r="E8" s="14" t="s">
        <v>91</v>
      </c>
      <c r="F8" s="16" t="s">
        <v>92</v>
      </c>
      <c r="G8" s="16">
        <v>94</v>
      </c>
      <c r="H8" s="16">
        <v>98</v>
      </c>
      <c r="I8" s="16">
        <v>89</v>
      </c>
      <c r="J8" s="16" t="s">
        <v>10</v>
      </c>
    </row>
    <row r="9" spans="1:10" x14ac:dyDescent="0.3">
      <c r="A9" s="1"/>
      <c r="B9" s="14">
        <v>20101042</v>
      </c>
      <c r="C9" s="14" t="s">
        <v>36</v>
      </c>
      <c r="D9" s="15">
        <v>36744</v>
      </c>
      <c r="E9" s="14" t="s">
        <v>82</v>
      </c>
      <c r="F9" s="16" t="s">
        <v>83</v>
      </c>
      <c r="G9" s="16">
        <v>89</v>
      </c>
      <c r="H9" s="16">
        <v>82</v>
      </c>
      <c r="I9" s="16">
        <v>98</v>
      </c>
      <c r="J9" s="16" t="s">
        <v>8</v>
      </c>
    </row>
    <row r="10" spans="1:10" x14ac:dyDescent="0.3">
      <c r="A10" s="1"/>
      <c r="B10" s="14">
        <v>19102033</v>
      </c>
      <c r="C10" s="14" t="s">
        <v>38</v>
      </c>
      <c r="D10" s="15">
        <v>35315</v>
      </c>
      <c r="E10" s="14" t="s">
        <v>84</v>
      </c>
      <c r="F10" s="16" t="s">
        <v>85</v>
      </c>
      <c r="G10" s="16">
        <v>98</v>
      </c>
      <c r="H10" s="16">
        <v>82</v>
      </c>
      <c r="I10" s="16">
        <v>66</v>
      </c>
      <c r="J10" s="16" t="s">
        <v>8</v>
      </c>
    </row>
    <row r="11" spans="1:10" x14ac:dyDescent="0.3">
      <c r="A11" s="1"/>
      <c r="B11" s="14">
        <v>20103082</v>
      </c>
      <c r="C11" s="14" t="s">
        <v>40</v>
      </c>
      <c r="D11" s="15">
        <v>36984</v>
      </c>
      <c r="E11" s="14" t="s">
        <v>86</v>
      </c>
      <c r="F11" s="16" t="s">
        <v>87</v>
      </c>
      <c r="G11" s="16">
        <v>70</v>
      </c>
      <c r="H11" s="16">
        <v>62</v>
      </c>
      <c r="I11" s="16">
        <v>90</v>
      </c>
      <c r="J11" s="16" t="s">
        <v>9</v>
      </c>
    </row>
    <row r="12" spans="1:10" x14ac:dyDescent="0.3">
      <c r="A12" s="1"/>
      <c r="B12" s="14">
        <v>17104082</v>
      </c>
      <c r="C12" s="14" t="s">
        <v>42</v>
      </c>
      <c r="D12" s="15">
        <v>36144</v>
      </c>
      <c r="E12" s="14" t="s">
        <v>7</v>
      </c>
      <c r="F12" s="16" t="s">
        <v>88</v>
      </c>
      <c r="G12" s="16">
        <v>99</v>
      </c>
      <c r="H12" s="16">
        <v>87</v>
      </c>
      <c r="I12" s="16">
        <v>80</v>
      </c>
      <c r="J12" s="16" t="s">
        <v>8</v>
      </c>
    </row>
    <row r="13" spans="1:10" x14ac:dyDescent="0.3">
      <c r="A13" s="1"/>
      <c r="B13" s="14">
        <v>18105011</v>
      </c>
      <c r="C13" s="14" t="s">
        <v>44</v>
      </c>
      <c r="D13" s="15">
        <v>35977</v>
      </c>
      <c r="E13" s="14" t="s">
        <v>89</v>
      </c>
      <c r="F13" s="16" t="s">
        <v>90</v>
      </c>
      <c r="G13" s="16">
        <v>94</v>
      </c>
      <c r="H13" s="16">
        <v>93</v>
      </c>
      <c r="I13" s="16">
        <v>73</v>
      </c>
      <c r="J13" s="16" t="s">
        <v>8</v>
      </c>
    </row>
    <row r="14" spans="1:10" x14ac:dyDescent="0.3">
      <c r="A14" s="1"/>
      <c r="B14" s="14">
        <v>19106014</v>
      </c>
      <c r="C14" s="14" t="s">
        <v>46</v>
      </c>
      <c r="D14" s="15">
        <v>35742</v>
      </c>
      <c r="E14" s="14" t="s">
        <v>91</v>
      </c>
      <c r="F14" s="16" t="s">
        <v>92</v>
      </c>
      <c r="G14" s="16">
        <v>70</v>
      </c>
      <c r="H14" s="16">
        <v>70</v>
      </c>
      <c r="I14" s="16">
        <v>96</v>
      </c>
      <c r="J14" s="16" t="s">
        <v>9</v>
      </c>
    </row>
    <row r="15" spans="1:10" x14ac:dyDescent="0.3">
      <c r="A15" s="1"/>
      <c r="B15" s="14">
        <v>17101092</v>
      </c>
      <c r="C15" s="14" t="s">
        <v>48</v>
      </c>
      <c r="D15" s="15">
        <v>35539</v>
      </c>
      <c r="E15" s="14" t="s">
        <v>82</v>
      </c>
      <c r="F15" s="16" t="s">
        <v>83</v>
      </c>
      <c r="G15" s="16">
        <v>88</v>
      </c>
      <c r="H15" s="16">
        <v>100</v>
      </c>
      <c r="I15" s="16">
        <v>70</v>
      </c>
      <c r="J15" s="16" t="s">
        <v>8</v>
      </c>
    </row>
    <row r="16" spans="1:10" x14ac:dyDescent="0.3">
      <c r="A16" s="1"/>
      <c r="B16" s="14">
        <v>18102031</v>
      </c>
      <c r="C16" s="14" t="s">
        <v>50</v>
      </c>
      <c r="D16" s="15">
        <v>35920</v>
      </c>
      <c r="E16" s="14" t="s">
        <v>84</v>
      </c>
      <c r="F16" s="16" t="s">
        <v>85</v>
      </c>
      <c r="G16" s="16">
        <v>84</v>
      </c>
      <c r="H16" s="16">
        <v>73</v>
      </c>
      <c r="I16" s="16">
        <v>95</v>
      </c>
      <c r="J16" s="16" t="s">
        <v>8</v>
      </c>
    </row>
    <row r="17" spans="1:10" x14ac:dyDescent="0.3">
      <c r="A17" s="1"/>
      <c r="B17" s="14">
        <v>19103011</v>
      </c>
      <c r="C17" s="14" t="s">
        <v>52</v>
      </c>
      <c r="D17" s="15">
        <v>35907</v>
      </c>
      <c r="E17" s="14" t="s">
        <v>86</v>
      </c>
      <c r="F17" s="16" t="s">
        <v>87</v>
      </c>
      <c r="G17" s="16">
        <v>80</v>
      </c>
      <c r="H17" s="16">
        <v>77</v>
      </c>
      <c r="I17" s="16">
        <v>100</v>
      </c>
      <c r="J17" s="16" t="s">
        <v>8</v>
      </c>
    </row>
    <row r="18" spans="1:10" x14ac:dyDescent="0.3">
      <c r="A18" s="1"/>
      <c r="B18" s="14">
        <v>17104002</v>
      </c>
      <c r="C18" s="14" t="s">
        <v>54</v>
      </c>
      <c r="D18" s="15">
        <v>35158</v>
      </c>
      <c r="E18" s="14" t="s">
        <v>7</v>
      </c>
      <c r="F18" s="16" t="s">
        <v>88</v>
      </c>
      <c r="G18" s="16">
        <v>74</v>
      </c>
      <c r="H18" s="16">
        <v>93</v>
      </c>
      <c r="I18" s="16">
        <v>95</v>
      </c>
      <c r="J18" s="16" t="s">
        <v>8</v>
      </c>
    </row>
    <row r="19" spans="1:10" x14ac:dyDescent="0.3">
      <c r="A19" s="1"/>
      <c r="B19" s="14">
        <v>18105042</v>
      </c>
      <c r="C19" s="14" t="s">
        <v>56</v>
      </c>
      <c r="D19" s="15">
        <v>35975</v>
      </c>
      <c r="E19" s="14" t="s">
        <v>89</v>
      </c>
      <c r="F19" s="16" t="s">
        <v>90</v>
      </c>
      <c r="G19" s="16">
        <v>89</v>
      </c>
      <c r="H19" s="16">
        <v>69</v>
      </c>
      <c r="I19" s="16">
        <v>76</v>
      </c>
      <c r="J19" s="16" t="s">
        <v>9</v>
      </c>
    </row>
    <row r="20" spans="1:10" x14ac:dyDescent="0.3">
      <c r="A20" s="1"/>
      <c r="B20" s="14">
        <v>19106088</v>
      </c>
      <c r="C20" s="14" t="s">
        <v>58</v>
      </c>
      <c r="D20" s="15">
        <v>35991</v>
      </c>
      <c r="E20" s="14" t="s">
        <v>91</v>
      </c>
      <c r="F20" s="16" t="s">
        <v>92</v>
      </c>
      <c r="G20" s="16">
        <v>99</v>
      </c>
      <c r="H20" s="16">
        <v>63</v>
      </c>
      <c r="I20" s="16">
        <v>99</v>
      </c>
      <c r="J20" s="16" t="s">
        <v>8</v>
      </c>
    </row>
    <row r="21" spans="1:10" x14ac:dyDescent="0.3">
      <c r="A21" s="1"/>
      <c r="B21" s="14">
        <v>20101045</v>
      </c>
      <c r="C21" s="14" t="s">
        <v>60</v>
      </c>
      <c r="D21" s="15">
        <v>37090</v>
      </c>
      <c r="E21" s="14" t="s">
        <v>82</v>
      </c>
      <c r="F21" s="16" t="s">
        <v>83</v>
      </c>
      <c r="G21" s="16">
        <v>68</v>
      </c>
      <c r="H21" s="16">
        <v>84</v>
      </c>
      <c r="I21" s="16">
        <v>91</v>
      </c>
      <c r="J21" s="16" t="s">
        <v>8</v>
      </c>
    </row>
    <row r="22" spans="1:10" x14ac:dyDescent="0.3">
      <c r="A22" s="1"/>
      <c r="B22" s="14">
        <v>19102036</v>
      </c>
      <c r="C22" s="14" t="s">
        <v>62</v>
      </c>
      <c r="D22" s="15">
        <v>35722</v>
      </c>
      <c r="E22" s="14" t="s">
        <v>84</v>
      </c>
      <c r="F22" s="16" t="s">
        <v>85</v>
      </c>
      <c r="G22" s="16">
        <v>80</v>
      </c>
      <c r="H22" s="16">
        <v>79</v>
      </c>
      <c r="I22" s="16">
        <v>99</v>
      </c>
      <c r="J22" s="16" t="s">
        <v>8</v>
      </c>
    </row>
    <row r="23" spans="1:10" x14ac:dyDescent="0.3">
      <c r="A23" s="1"/>
      <c r="B23" s="14">
        <v>20103099</v>
      </c>
      <c r="C23" s="14" t="s">
        <v>64</v>
      </c>
      <c r="D23" s="15">
        <v>37292</v>
      </c>
      <c r="E23" s="14" t="s">
        <v>86</v>
      </c>
      <c r="F23" s="16" t="s">
        <v>87</v>
      </c>
      <c r="G23" s="16">
        <v>74</v>
      </c>
      <c r="H23" s="16">
        <v>97</v>
      </c>
      <c r="I23" s="16">
        <v>94</v>
      </c>
      <c r="J23" s="16" t="s">
        <v>8</v>
      </c>
    </row>
    <row r="24" spans="1:10" x14ac:dyDescent="0.3">
      <c r="A24" s="1"/>
      <c r="B24" s="14">
        <v>17104029</v>
      </c>
      <c r="C24" s="14" t="s">
        <v>66</v>
      </c>
      <c r="D24" s="15">
        <v>36078</v>
      </c>
      <c r="E24" s="14" t="s">
        <v>7</v>
      </c>
      <c r="F24" s="16" t="s">
        <v>88</v>
      </c>
      <c r="G24" s="16">
        <v>96</v>
      </c>
      <c r="H24" s="16">
        <v>87</v>
      </c>
      <c r="I24" s="16">
        <v>64</v>
      </c>
      <c r="J24" s="16" t="s">
        <v>8</v>
      </c>
    </row>
    <row r="25" spans="1:10" x14ac:dyDescent="0.3">
      <c r="A25" s="1"/>
      <c r="B25" s="14">
        <v>18105045</v>
      </c>
      <c r="C25" s="14" t="s">
        <v>68</v>
      </c>
      <c r="D25" s="15">
        <v>35996</v>
      </c>
      <c r="E25" s="14" t="s">
        <v>89</v>
      </c>
      <c r="F25" s="16" t="s">
        <v>90</v>
      </c>
      <c r="G25" s="16">
        <v>71</v>
      </c>
      <c r="H25" s="16">
        <v>78</v>
      </c>
      <c r="I25" s="16">
        <v>64</v>
      </c>
      <c r="J25" s="16" t="s">
        <v>9</v>
      </c>
    </row>
    <row r="26" spans="1:10" x14ac:dyDescent="0.3">
      <c r="A26" s="1"/>
      <c r="B26" s="14">
        <v>19106111</v>
      </c>
      <c r="C26" s="14" t="s">
        <v>70</v>
      </c>
      <c r="D26" s="15">
        <v>36063</v>
      </c>
      <c r="E26" s="14" t="s">
        <v>91</v>
      </c>
      <c r="F26" s="16" t="s">
        <v>92</v>
      </c>
      <c r="G26" s="16">
        <v>94</v>
      </c>
      <c r="H26" s="16">
        <v>66</v>
      </c>
      <c r="I26" s="16">
        <v>72</v>
      </c>
      <c r="J26" s="16" t="s">
        <v>9</v>
      </c>
    </row>
    <row r="27" spans="1:10" x14ac:dyDescent="0.3">
      <c r="A27" s="1"/>
      <c r="B27" s="14">
        <v>20101241</v>
      </c>
      <c r="C27" s="14" t="s">
        <v>72</v>
      </c>
      <c r="D27" s="15">
        <v>36190</v>
      </c>
      <c r="E27" s="14" t="s">
        <v>82</v>
      </c>
      <c r="F27" s="16" t="s">
        <v>83</v>
      </c>
      <c r="G27" s="16">
        <v>62</v>
      </c>
      <c r="H27" s="16">
        <v>88</v>
      </c>
      <c r="I27" s="16">
        <v>98</v>
      </c>
      <c r="J27" s="16" t="s">
        <v>8</v>
      </c>
    </row>
    <row r="28" spans="1:10" x14ac:dyDescent="0.3">
      <c r="A28" s="1"/>
      <c r="B28" s="14">
        <v>19102332</v>
      </c>
      <c r="C28" s="14" t="s">
        <v>74</v>
      </c>
      <c r="D28" s="15">
        <v>34475</v>
      </c>
      <c r="E28" s="14" t="s">
        <v>84</v>
      </c>
      <c r="F28" s="16" t="s">
        <v>85</v>
      </c>
      <c r="G28" s="16">
        <v>93</v>
      </c>
      <c r="H28" s="16">
        <v>89</v>
      </c>
      <c r="I28" s="16">
        <v>99</v>
      </c>
      <c r="J28" s="16" t="s">
        <v>10</v>
      </c>
    </row>
    <row r="29" spans="1:10" x14ac:dyDescent="0.3">
      <c r="A29" s="1"/>
      <c r="B29" s="14">
        <v>20103411</v>
      </c>
      <c r="C29" s="14" t="s">
        <v>75</v>
      </c>
      <c r="D29" s="15">
        <v>36991</v>
      </c>
      <c r="E29" s="14" t="s">
        <v>86</v>
      </c>
      <c r="F29" s="16" t="s">
        <v>87</v>
      </c>
      <c r="G29" s="16">
        <v>89</v>
      </c>
      <c r="H29" s="16">
        <v>93</v>
      </c>
      <c r="I29" s="16">
        <v>63</v>
      </c>
      <c r="J29" s="16" t="s">
        <v>8</v>
      </c>
    </row>
    <row r="30" spans="1:10" x14ac:dyDescent="0.3">
      <c r="A30" s="1"/>
      <c r="B30" s="14">
        <v>17104632</v>
      </c>
      <c r="C30" s="14" t="s">
        <v>76</v>
      </c>
      <c r="D30" s="15">
        <v>36046</v>
      </c>
      <c r="E30" s="14" t="s">
        <v>7</v>
      </c>
      <c r="F30" s="16" t="s">
        <v>88</v>
      </c>
      <c r="G30" s="16">
        <v>84</v>
      </c>
      <c r="H30" s="16">
        <v>62</v>
      </c>
      <c r="I30" s="16">
        <v>89</v>
      </c>
      <c r="J30" s="16" t="s">
        <v>9</v>
      </c>
    </row>
    <row r="31" spans="1:10" x14ac:dyDescent="0.3">
      <c r="A31" s="1"/>
      <c r="B31" s="14">
        <v>18105241</v>
      </c>
      <c r="C31" s="14" t="s">
        <v>77</v>
      </c>
      <c r="D31" s="15">
        <v>36005</v>
      </c>
      <c r="E31" s="14" t="s">
        <v>89</v>
      </c>
      <c r="F31" s="16" t="s">
        <v>90</v>
      </c>
      <c r="G31" s="16">
        <v>74</v>
      </c>
      <c r="H31" s="16">
        <v>87</v>
      </c>
      <c r="I31" s="16">
        <v>72</v>
      </c>
      <c r="J31" s="16" t="s">
        <v>9</v>
      </c>
    </row>
    <row r="32" spans="1:10" x14ac:dyDescent="0.3">
      <c r="A32" s="1"/>
      <c r="B32" s="14">
        <v>19106123</v>
      </c>
      <c r="C32" s="14" t="s">
        <v>78</v>
      </c>
      <c r="D32" s="15">
        <v>35880</v>
      </c>
      <c r="E32" s="14" t="s">
        <v>91</v>
      </c>
      <c r="F32" s="16" t="s">
        <v>92</v>
      </c>
      <c r="G32" s="16">
        <v>82</v>
      </c>
      <c r="H32" s="16">
        <v>65</v>
      </c>
      <c r="I32" s="16">
        <v>88</v>
      </c>
      <c r="J32" s="16" t="s">
        <v>9</v>
      </c>
    </row>
    <row r="33" spans="1:10" x14ac:dyDescent="0.3">
      <c r="A33" s="1"/>
      <c r="B33" s="1"/>
      <c r="C33" s="1"/>
      <c r="D33" s="1"/>
      <c r="E33" s="1"/>
      <c r="F33" s="2"/>
      <c r="G33" s="1"/>
      <c r="H33" s="1"/>
      <c r="I33" s="1"/>
      <c r="J33" s="2"/>
    </row>
    <row r="34" spans="1:10" x14ac:dyDescent="0.3">
      <c r="A34" s="1"/>
      <c r="B34" s="1" t="s">
        <v>16</v>
      </c>
      <c r="C34" s="1"/>
      <c r="D34" s="1"/>
      <c r="E34" s="1"/>
      <c r="F34" s="1"/>
      <c r="G34" s="1"/>
      <c r="H34" s="1"/>
      <c r="I34" s="1"/>
      <c r="J34" s="2"/>
    </row>
    <row r="35" spans="1:10" x14ac:dyDescent="0.3">
      <c r="A35" s="1"/>
      <c r="B35" s="1" t="b">
        <f>AND(AVERAGE(G3:I3)&gt;=AVERAGE($G$3:$I$32),OR(YEAR(D3)=1997,YEAR(D3)=1998))</f>
        <v>0</v>
      </c>
      <c r="C35" s="1"/>
      <c r="D35" s="1"/>
      <c r="E35" s="1"/>
      <c r="F35" s="1"/>
      <c r="G35" s="1"/>
      <c r="H35" s="1"/>
      <c r="I35" s="1"/>
      <c r="J35" s="2"/>
    </row>
    <row r="36" spans="1:10" x14ac:dyDescent="0.3">
      <c r="A36" s="1"/>
      <c r="B36" s="1"/>
      <c r="C36" s="1"/>
      <c r="D36" s="1"/>
      <c r="E36" s="1"/>
      <c r="F36" s="1"/>
      <c r="G36" s="1"/>
      <c r="H36" s="1"/>
      <c r="I36" s="1"/>
      <c r="J36" s="2"/>
    </row>
    <row r="37" spans="1:10" x14ac:dyDescent="0.3">
      <c r="A37" s="1"/>
      <c r="B37" s="17" t="s">
        <v>2</v>
      </c>
      <c r="C37" s="17" t="s">
        <v>3</v>
      </c>
      <c r="D37" s="17" t="s">
        <v>6</v>
      </c>
      <c r="E37" s="1"/>
      <c r="F37" s="1"/>
      <c r="G37" s="1"/>
      <c r="H37" s="1"/>
      <c r="I37" s="1"/>
      <c r="J37" s="2"/>
    </row>
    <row r="38" spans="1:10" x14ac:dyDescent="0.3">
      <c r="B38" s="14" t="s">
        <v>34</v>
      </c>
      <c r="C38" s="15">
        <v>35917</v>
      </c>
      <c r="D38" s="16" t="s">
        <v>10</v>
      </c>
    </row>
    <row r="39" spans="1:10" x14ac:dyDescent="0.3">
      <c r="B39" s="14" t="s">
        <v>42</v>
      </c>
      <c r="C39" s="15">
        <v>36144</v>
      </c>
      <c r="D39" s="16" t="s">
        <v>8</v>
      </c>
    </row>
    <row r="40" spans="1:10" x14ac:dyDescent="0.3">
      <c r="B40" s="14" t="s">
        <v>44</v>
      </c>
      <c r="C40" s="15">
        <v>35977</v>
      </c>
      <c r="D40" s="16" t="s">
        <v>8</v>
      </c>
    </row>
    <row r="41" spans="1:10" x14ac:dyDescent="0.3">
      <c r="B41" s="14" t="s">
        <v>48</v>
      </c>
      <c r="C41" s="15">
        <v>35539</v>
      </c>
      <c r="D41" s="16" t="s">
        <v>8</v>
      </c>
    </row>
    <row r="42" spans="1:10" x14ac:dyDescent="0.3">
      <c r="B42" s="14" t="s">
        <v>50</v>
      </c>
      <c r="C42" s="15">
        <v>35920</v>
      </c>
      <c r="D42" s="16" t="s">
        <v>8</v>
      </c>
    </row>
    <row r="43" spans="1:10" x14ac:dyDescent="0.3">
      <c r="B43" s="14" t="s">
        <v>52</v>
      </c>
      <c r="C43" s="15">
        <v>35907</v>
      </c>
      <c r="D43" s="16" t="s">
        <v>8</v>
      </c>
    </row>
    <row r="44" spans="1:10" x14ac:dyDescent="0.3">
      <c r="B44" s="14" t="s">
        <v>58</v>
      </c>
      <c r="C44" s="15">
        <v>35991</v>
      </c>
      <c r="D44" s="16" t="s">
        <v>8</v>
      </c>
    </row>
    <row r="45" spans="1:10" x14ac:dyDescent="0.3">
      <c r="B45" s="14" t="s">
        <v>62</v>
      </c>
      <c r="C45" s="15">
        <v>35722</v>
      </c>
      <c r="D45" s="16" t="s">
        <v>8</v>
      </c>
    </row>
  </sheetData>
  <phoneticPr fontId="1" type="noConversion"/>
  <conditionalFormatting sqref="B3:J32">
    <cfRule type="expression" dxfId="2" priority="1">
      <formula>AND(VALUE(LEFT($B3,2))&lt;=18,$J3="B")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33"/>
  <sheetViews>
    <sheetView workbookViewId="0">
      <selection activeCell="E4" sqref="E4"/>
    </sheetView>
  </sheetViews>
  <sheetFormatPr defaultColWidth="9" defaultRowHeight="16.5" x14ac:dyDescent="0.3"/>
  <cols>
    <col min="1" max="1" width="2" style="1" customWidth="1"/>
    <col min="2" max="2" width="11.375" style="1" customWidth="1"/>
    <col min="3" max="3" width="10.375" style="1" customWidth="1"/>
    <col min="4" max="4" width="13.125" style="1" customWidth="1"/>
    <col min="5" max="5" width="14.375" style="1" customWidth="1"/>
    <col min="6" max="6" width="12.25" style="1" customWidth="1"/>
    <col min="7" max="9" width="9" style="1"/>
    <col min="10" max="10" width="9" style="2"/>
    <col min="11" max="16384" width="9" style="1"/>
  </cols>
  <sheetData>
    <row r="1" spans="2:10" x14ac:dyDescent="0.3">
      <c r="B1" s="1" t="s">
        <v>0</v>
      </c>
    </row>
    <row r="2" spans="2:10" x14ac:dyDescent="0.3"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93</v>
      </c>
      <c r="H2" s="31" t="s">
        <v>94</v>
      </c>
      <c r="I2" s="31" t="s">
        <v>95</v>
      </c>
      <c r="J2" s="31" t="s">
        <v>6</v>
      </c>
    </row>
    <row r="3" spans="2:10" x14ac:dyDescent="0.3">
      <c r="B3" s="14">
        <v>18105045</v>
      </c>
      <c r="C3" s="14" t="s">
        <v>68</v>
      </c>
      <c r="D3" s="15">
        <v>35996</v>
      </c>
      <c r="E3" s="14" t="s">
        <v>89</v>
      </c>
      <c r="F3" s="16" t="s">
        <v>90</v>
      </c>
      <c r="G3" s="16">
        <v>71</v>
      </c>
      <c r="H3" s="16">
        <v>78</v>
      </c>
      <c r="I3" s="16">
        <v>64</v>
      </c>
      <c r="J3" s="16" t="s">
        <v>9</v>
      </c>
    </row>
    <row r="4" spans="2:10" x14ac:dyDescent="0.3">
      <c r="B4" s="14">
        <v>17104082</v>
      </c>
      <c r="C4" s="14" t="s">
        <v>42</v>
      </c>
      <c r="D4" s="15">
        <v>36144</v>
      </c>
      <c r="E4" s="14" t="s">
        <v>7</v>
      </c>
      <c r="F4" s="16" t="s">
        <v>88</v>
      </c>
      <c r="G4" s="16">
        <v>99</v>
      </c>
      <c r="H4" s="16">
        <v>87</v>
      </c>
      <c r="I4" s="16">
        <v>80</v>
      </c>
      <c r="J4" s="16" t="s">
        <v>8</v>
      </c>
    </row>
    <row r="5" spans="2:10" x14ac:dyDescent="0.3">
      <c r="B5" s="14">
        <v>19106088</v>
      </c>
      <c r="C5" s="14" t="s">
        <v>58</v>
      </c>
      <c r="D5" s="15">
        <v>35991</v>
      </c>
      <c r="E5" s="14" t="s">
        <v>91</v>
      </c>
      <c r="F5" s="16" t="s">
        <v>92</v>
      </c>
      <c r="G5" s="16">
        <v>99</v>
      </c>
      <c r="H5" s="16">
        <v>63</v>
      </c>
      <c r="I5" s="16">
        <v>99</v>
      </c>
      <c r="J5" s="16" t="s">
        <v>8</v>
      </c>
    </row>
    <row r="6" spans="2:10" x14ac:dyDescent="0.3">
      <c r="B6" s="14">
        <v>18105011</v>
      </c>
      <c r="C6" s="14" t="s">
        <v>44</v>
      </c>
      <c r="D6" s="15">
        <v>35977</v>
      </c>
      <c r="E6" s="14" t="s">
        <v>89</v>
      </c>
      <c r="F6" s="16" t="s">
        <v>90</v>
      </c>
      <c r="G6" s="16">
        <v>94</v>
      </c>
      <c r="H6" s="16">
        <v>93</v>
      </c>
      <c r="I6" s="16">
        <v>73</v>
      </c>
      <c r="J6" s="16" t="s">
        <v>8</v>
      </c>
    </row>
    <row r="7" spans="2:10" x14ac:dyDescent="0.3">
      <c r="B7" s="14">
        <v>20101241</v>
      </c>
      <c r="C7" s="14" t="s">
        <v>72</v>
      </c>
      <c r="D7" s="15">
        <v>36190</v>
      </c>
      <c r="E7" s="14" t="s">
        <v>82</v>
      </c>
      <c r="F7" s="16" t="s">
        <v>83</v>
      </c>
      <c r="G7" s="16">
        <v>62</v>
      </c>
      <c r="H7" s="16">
        <v>88</v>
      </c>
      <c r="I7" s="16">
        <v>98</v>
      </c>
      <c r="J7" s="16" t="s">
        <v>8</v>
      </c>
    </row>
    <row r="8" spans="2:10" x14ac:dyDescent="0.3">
      <c r="B8" s="14">
        <v>20101042</v>
      </c>
      <c r="C8" s="14" t="s">
        <v>36</v>
      </c>
      <c r="D8" s="15">
        <v>36744</v>
      </c>
      <c r="E8" s="14" t="s">
        <v>82</v>
      </c>
      <c r="F8" s="16" t="s">
        <v>83</v>
      </c>
      <c r="G8" s="16">
        <v>89</v>
      </c>
      <c r="H8" s="16">
        <v>82</v>
      </c>
      <c r="I8" s="16">
        <v>98</v>
      </c>
      <c r="J8" s="16" t="s">
        <v>8</v>
      </c>
    </row>
    <row r="9" spans="2:10" x14ac:dyDescent="0.3">
      <c r="B9" s="14">
        <v>19103011</v>
      </c>
      <c r="C9" s="14" t="s">
        <v>52</v>
      </c>
      <c r="D9" s="15">
        <v>35907</v>
      </c>
      <c r="E9" s="14" t="s">
        <v>86</v>
      </c>
      <c r="F9" s="16" t="s">
        <v>87</v>
      </c>
      <c r="G9" s="16">
        <v>80</v>
      </c>
      <c r="H9" s="16">
        <v>77</v>
      </c>
      <c r="I9" s="16">
        <v>100</v>
      </c>
      <c r="J9" s="16" t="s">
        <v>8</v>
      </c>
    </row>
    <row r="10" spans="2:10" x14ac:dyDescent="0.3">
      <c r="B10" s="14">
        <v>17101092</v>
      </c>
      <c r="C10" s="14" t="s">
        <v>48</v>
      </c>
      <c r="D10" s="15">
        <v>35539</v>
      </c>
      <c r="E10" s="14" t="s">
        <v>82</v>
      </c>
      <c r="F10" s="16" t="s">
        <v>83</v>
      </c>
      <c r="G10" s="16">
        <v>88</v>
      </c>
      <c r="H10" s="16">
        <v>100</v>
      </c>
      <c r="I10" s="16">
        <v>70</v>
      </c>
      <c r="J10" s="16" t="s">
        <v>8</v>
      </c>
    </row>
    <row r="11" spans="2:10" x14ac:dyDescent="0.3">
      <c r="B11" s="14">
        <v>20103411</v>
      </c>
      <c r="C11" s="14" t="s">
        <v>75</v>
      </c>
      <c r="D11" s="15">
        <v>36991</v>
      </c>
      <c r="E11" s="14" t="s">
        <v>86</v>
      </c>
      <c r="F11" s="16" t="s">
        <v>87</v>
      </c>
      <c r="G11" s="16">
        <v>89</v>
      </c>
      <c r="H11" s="16">
        <v>93</v>
      </c>
      <c r="I11" s="16">
        <v>63</v>
      </c>
      <c r="J11" s="16" t="s">
        <v>8</v>
      </c>
    </row>
    <row r="12" spans="2:10" x14ac:dyDescent="0.3">
      <c r="B12" s="14">
        <v>20103099</v>
      </c>
      <c r="C12" s="14" t="s">
        <v>64</v>
      </c>
      <c r="D12" s="15">
        <v>37292</v>
      </c>
      <c r="E12" s="14" t="s">
        <v>86</v>
      </c>
      <c r="F12" s="16" t="s">
        <v>87</v>
      </c>
      <c r="G12" s="16">
        <v>74</v>
      </c>
      <c r="H12" s="16">
        <v>97</v>
      </c>
      <c r="I12" s="16">
        <v>94</v>
      </c>
      <c r="J12" s="16" t="s">
        <v>8</v>
      </c>
    </row>
    <row r="13" spans="2:10" x14ac:dyDescent="0.3">
      <c r="B13" s="14">
        <v>19102332</v>
      </c>
      <c r="C13" s="14" t="s">
        <v>74</v>
      </c>
      <c r="D13" s="15">
        <v>34475</v>
      </c>
      <c r="E13" s="14" t="s">
        <v>84</v>
      </c>
      <c r="F13" s="16" t="s">
        <v>85</v>
      </c>
      <c r="G13" s="16">
        <v>93</v>
      </c>
      <c r="H13" s="16">
        <v>89</v>
      </c>
      <c r="I13" s="16">
        <v>99</v>
      </c>
      <c r="J13" s="16" t="s">
        <v>10</v>
      </c>
    </row>
    <row r="14" spans="2:10" x14ac:dyDescent="0.3">
      <c r="B14" s="14">
        <v>17104002</v>
      </c>
      <c r="C14" s="14" t="s">
        <v>54</v>
      </c>
      <c r="D14" s="15">
        <v>35158</v>
      </c>
      <c r="E14" s="14" t="s">
        <v>7</v>
      </c>
      <c r="F14" s="16" t="s">
        <v>88</v>
      </c>
      <c r="G14" s="16">
        <v>74</v>
      </c>
      <c r="H14" s="16">
        <v>93</v>
      </c>
      <c r="I14" s="16">
        <v>95</v>
      </c>
      <c r="J14" s="16" t="s">
        <v>8</v>
      </c>
    </row>
    <row r="15" spans="2:10" x14ac:dyDescent="0.3">
      <c r="B15" s="14">
        <v>17104632</v>
      </c>
      <c r="C15" s="14" t="s">
        <v>76</v>
      </c>
      <c r="D15" s="15">
        <v>36046</v>
      </c>
      <c r="E15" s="14" t="s">
        <v>7</v>
      </c>
      <c r="F15" s="16" t="s">
        <v>88</v>
      </c>
      <c r="G15" s="16">
        <v>84</v>
      </c>
      <c r="H15" s="16">
        <v>62</v>
      </c>
      <c r="I15" s="16">
        <v>89</v>
      </c>
      <c r="J15" s="16" t="s">
        <v>9</v>
      </c>
    </row>
    <row r="16" spans="2:10" x14ac:dyDescent="0.3">
      <c r="B16" s="14">
        <v>18105042</v>
      </c>
      <c r="C16" s="14" t="s">
        <v>56</v>
      </c>
      <c r="D16" s="15">
        <v>35975</v>
      </c>
      <c r="E16" s="14" t="s">
        <v>89</v>
      </c>
      <c r="F16" s="16" t="s">
        <v>90</v>
      </c>
      <c r="G16" s="16">
        <v>89</v>
      </c>
      <c r="H16" s="16">
        <v>69</v>
      </c>
      <c r="I16" s="16">
        <v>76</v>
      </c>
      <c r="J16" s="16" t="s">
        <v>9</v>
      </c>
    </row>
    <row r="17" spans="2:10" x14ac:dyDescent="0.3">
      <c r="B17" s="14">
        <v>18102031</v>
      </c>
      <c r="C17" s="14" t="s">
        <v>50</v>
      </c>
      <c r="D17" s="15">
        <v>35920</v>
      </c>
      <c r="E17" s="14" t="s">
        <v>84</v>
      </c>
      <c r="F17" s="16" t="s">
        <v>85</v>
      </c>
      <c r="G17" s="16">
        <v>84</v>
      </c>
      <c r="H17" s="16">
        <v>73</v>
      </c>
      <c r="I17" s="16">
        <v>95</v>
      </c>
      <c r="J17" s="16" t="s">
        <v>8</v>
      </c>
    </row>
    <row r="18" spans="2:10" x14ac:dyDescent="0.3">
      <c r="B18" s="14">
        <v>19106123</v>
      </c>
      <c r="C18" s="14" t="s">
        <v>78</v>
      </c>
      <c r="D18" s="15">
        <v>35880</v>
      </c>
      <c r="E18" s="14" t="s">
        <v>91</v>
      </c>
      <c r="F18" s="16" t="s">
        <v>92</v>
      </c>
      <c r="G18" s="16">
        <v>82</v>
      </c>
      <c r="H18" s="16">
        <v>65</v>
      </c>
      <c r="I18" s="16">
        <v>88</v>
      </c>
      <c r="J18" s="16" t="s">
        <v>9</v>
      </c>
    </row>
    <row r="19" spans="2:10" x14ac:dyDescent="0.3">
      <c r="B19" s="14">
        <v>17104029</v>
      </c>
      <c r="C19" s="14" t="s">
        <v>66</v>
      </c>
      <c r="D19" s="15">
        <v>36078</v>
      </c>
      <c r="E19" s="14" t="s">
        <v>7</v>
      </c>
      <c r="F19" s="16" t="s">
        <v>88</v>
      </c>
      <c r="G19" s="16">
        <v>96</v>
      </c>
      <c r="H19" s="16">
        <v>87</v>
      </c>
      <c r="I19" s="16">
        <v>64</v>
      </c>
      <c r="J19" s="16" t="s">
        <v>8</v>
      </c>
    </row>
    <row r="20" spans="2:10" x14ac:dyDescent="0.3">
      <c r="B20" s="14">
        <v>19106081</v>
      </c>
      <c r="C20" s="14" t="s">
        <v>34</v>
      </c>
      <c r="D20" s="15">
        <v>35917</v>
      </c>
      <c r="E20" s="14" t="s">
        <v>91</v>
      </c>
      <c r="F20" s="16" t="s">
        <v>92</v>
      </c>
      <c r="G20" s="16">
        <v>94</v>
      </c>
      <c r="H20" s="16">
        <v>98</v>
      </c>
      <c r="I20" s="16">
        <v>89</v>
      </c>
      <c r="J20" s="16" t="s">
        <v>10</v>
      </c>
    </row>
    <row r="21" spans="2:10" x14ac:dyDescent="0.3">
      <c r="B21" s="14">
        <v>19102033</v>
      </c>
      <c r="C21" s="14" t="s">
        <v>38</v>
      </c>
      <c r="D21" s="15">
        <v>35315</v>
      </c>
      <c r="E21" s="14" t="s">
        <v>84</v>
      </c>
      <c r="F21" s="16" t="s">
        <v>85</v>
      </c>
      <c r="G21" s="16">
        <v>98</v>
      </c>
      <c r="H21" s="16">
        <v>82</v>
      </c>
      <c r="I21" s="16">
        <v>66</v>
      </c>
      <c r="J21" s="16" t="s">
        <v>8</v>
      </c>
    </row>
    <row r="22" spans="2:10" x14ac:dyDescent="0.3">
      <c r="B22" s="14">
        <v>18102030</v>
      </c>
      <c r="C22" s="14" t="s">
        <v>26</v>
      </c>
      <c r="D22" s="15">
        <v>35968</v>
      </c>
      <c r="E22" s="14" t="s">
        <v>84</v>
      </c>
      <c r="F22" s="16" t="s">
        <v>85</v>
      </c>
      <c r="G22" s="16">
        <v>100</v>
      </c>
      <c r="H22" s="16">
        <v>74</v>
      </c>
      <c r="I22" s="16">
        <v>67</v>
      </c>
      <c r="J22" s="16" t="s">
        <v>8</v>
      </c>
    </row>
    <row r="23" spans="2:10" x14ac:dyDescent="0.3">
      <c r="B23" s="14">
        <v>17101001</v>
      </c>
      <c r="C23" s="14" t="s">
        <v>24</v>
      </c>
      <c r="D23" s="15">
        <v>35671</v>
      </c>
      <c r="E23" s="14" t="s">
        <v>82</v>
      </c>
      <c r="F23" s="16" t="s">
        <v>83</v>
      </c>
      <c r="G23" s="16">
        <v>94</v>
      </c>
      <c r="H23" s="16">
        <v>72</v>
      </c>
      <c r="I23" s="16">
        <v>66</v>
      </c>
      <c r="J23" s="16" t="s">
        <v>9</v>
      </c>
    </row>
    <row r="24" spans="2:10" x14ac:dyDescent="0.3">
      <c r="B24" s="14">
        <v>20103082</v>
      </c>
      <c r="C24" s="14" t="s">
        <v>40</v>
      </c>
      <c r="D24" s="15">
        <v>36984</v>
      </c>
      <c r="E24" s="14" t="s">
        <v>86</v>
      </c>
      <c r="F24" s="16" t="s">
        <v>87</v>
      </c>
      <c r="G24" s="16">
        <v>70</v>
      </c>
      <c r="H24" s="16">
        <v>62</v>
      </c>
      <c r="I24" s="16">
        <v>90</v>
      </c>
      <c r="J24" s="16" t="s">
        <v>9</v>
      </c>
    </row>
    <row r="25" spans="2:10" x14ac:dyDescent="0.3">
      <c r="B25" s="14">
        <v>19106111</v>
      </c>
      <c r="C25" s="14" t="s">
        <v>70</v>
      </c>
      <c r="D25" s="15">
        <v>36063</v>
      </c>
      <c r="E25" s="14" t="s">
        <v>91</v>
      </c>
      <c r="F25" s="16" t="s">
        <v>92</v>
      </c>
      <c r="G25" s="16">
        <v>94</v>
      </c>
      <c r="H25" s="16">
        <v>66</v>
      </c>
      <c r="I25" s="16">
        <v>72</v>
      </c>
      <c r="J25" s="16" t="s">
        <v>9</v>
      </c>
    </row>
    <row r="26" spans="2:10" x14ac:dyDescent="0.3">
      <c r="B26" s="14">
        <v>19102036</v>
      </c>
      <c r="C26" s="14" t="s">
        <v>62</v>
      </c>
      <c r="D26" s="15">
        <v>35722</v>
      </c>
      <c r="E26" s="14" t="s">
        <v>84</v>
      </c>
      <c r="F26" s="16" t="s">
        <v>85</v>
      </c>
      <c r="G26" s="16">
        <v>80</v>
      </c>
      <c r="H26" s="16">
        <v>79</v>
      </c>
      <c r="I26" s="16">
        <v>99</v>
      </c>
      <c r="J26" s="16" t="s">
        <v>8</v>
      </c>
    </row>
    <row r="27" spans="2:10" x14ac:dyDescent="0.3">
      <c r="B27" s="14">
        <v>17104020</v>
      </c>
      <c r="C27" s="14" t="s">
        <v>30</v>
      </c>
      <c r="D27" s="15">
        <v>35038</v>
      </c>
      <c r="E27" s="14" t="s">
        <v>7</v>
      </c>
      <c r="F27" s="16" t="s">
        <v>88</v>
      </c>
      <c r="G27" s="16">
        <v>89</v>
      </c>
      <c r="H27" s="16">
        <v>99</v>
      </c>
      <c r="I27" s="16">
        <v>92</v>
      </c>
      <c r="J27" s="16" t="s">
        <v>10</v>
      </c>
    </row>
    <row r="28" spans="2:10" x14ac:dyDescent="0.3">
      <c r="B28" s="14">
        <v>18105035</v>
      </c>
      <c r="C28" s="14" t="s">
        <v>32</v>
      </c>
      <c r="D28" s="15">
        <v>35464</v>
      </c>
      <c r="E28" s="14" t="s">
        <v>89</v>
      </c>
      <c r="F28" s="16" t="s">
        <v>90</v>
      </c>
      <c r="G28" s="16">
        <v>63</v>
      </c>
      <c r="H28" s="16">
        <v>83</v>
      </c>
      <c r="I28" s="16">
        <v>69</v>
      </c>
      <c r="J28" s="16" t="s">
        <v>9</v>
      </c>
    </row>
    <row r="29" spans="2:10" x14ac:dyDescent="0.3">
      <c r="B29" s="14">
        <v>18105241</v>
      </c>
      <c r="C29" s="14" t="s">
        <v>77</v>
      </c>
      <c r="D29" s="15">
        <v>36005</v>
      </c>
      <c r="E29" s="14" t="s">
        <v>89</v>
      </c>
      <c r="F29" s="16" t="s">
        <v>90</v>
      </c>
      <c r="G29" s="16">
        <v>74</v>
      </c>
      <c r="H29" s="16">
        <v>87</v>
      </c>
      <c r="I29" s="16">
        <v>72</v>
      </c>
      <c r="J29" s="16" t="s">
        <v>9</v>
      </c>
    </row>
    <row r="30" spans="2:10" x14ac:dyDescent="0.3">
      <c r="B30" s="14">
        <v>19103022</v>
      </c>
      <c r="C30" s="14" t="s">
        <v>28</v>
      </c>
      <c r="D30" s="15">
        <v>36284</v>
      </c>
      <c r="E30" s="14" t="s">
        <v>86</v>
      </c>
      <c r="F30" s="16" t="s">
        <v>87</v>
      </c>
      <c r="G30" s="16">
        <v>64</v>
      </c>
      <c r="H30" s="16">
        <v>100</v>
      </c>
      <c r="I30" s="16">
        <v>84</v>
      </c>
      <c r="J30" s="16" t="s">
        <v>8</v>
      </c>
    </row>
    <row r="31" spans="2:10" x14ac:dyDescent="0.3">
      <c r="B31" s="14">
        <v>19106014</v>
      </c>
      <c r="C31" s="14" t="s">
        <v>46</v>
      </c>
      <c r="D31" s="15">
        <v>35742</v>
      </c>
      <c r="E31" s="14" t="s">
        <v>91</v>
      </c>
      <c r="F31" s="16" t="s">
        <v>92</v>
      </c>
      <c r="G31" s="16">
        <v>70</v>
      </c>
      <c r="H31" s="16">
        <v>70</v>
      </c>
      <c r="I31" s="16">
        <v>96</v>
      </c>
      <c r="J31" s="16" t="s">
        <v>9</v>
      </c>
    </row>
    <row r="32" spans="2:10" x14ac:dyDescent="0.3">
      <c r="B32" s="14">
        <v>20101045</v>
      </c>
      <c r="C32" s="14" t="s">
        <v>60</v>
      </c>
      <c r="D32" s="15">
        <v>37090</v>
      </c>
      <c r="E32" s="14" t="s">
        <v>82</v>
      </c>
      <c r="F32" s="16" t="s">
        <v>83</v>
      </c>
      <c r="G32" s="16">
        <v>68</v>
      </c>
      <c r="H32" s="16">
        <v>84</v>
      </c>
      <c r="I32" s="16">
        <v>91</v>
      </c>
      <c r="J32" s="16" t="s">
        <v>8</v>
      </c>
    </row>
    <row r="33" spans="6:6" x14ac:dyDescent="0.3">
      <c r="F33" s="2"/>
    </row>
  </sheetData>
  <sortState xmlns:xlrd2="http://schemas.microsoft.com/office/spreadsheetml/2017/richdata2" ref="B3:J32">
    <sortCondition ref="C2"/>
  </sortState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"/>
  <headerFooter>
    <oddHeader>&amp;L&amp;D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R65"/>
  <sheetViews>
    <sheetView topLeftCell="B1" workbookViewId="0">
      <selection activeCell="M8" sqref="M8"/>
    </sheetView>
  </sheetViews>
  <sheetFormatPr defaultColWidth="12" defaultRowHeight="16.5" x14ac:dyDescent="0.3"/>
  <cols>
    <col min="1" max="1" width="4.125" style="1" customWidth="1"/>
    <col min="2" max="4" width="10.75" style="1" customWidth="1"/>
    <col min="5" max="5" width="16.875" style="1" customWidth="1"/>
    <col min="6" max="10" width="10.75" style="1" customWidth="1"/>
    <col min="11" max="11" width="2.25" style="1" customWidth="1"/>
    <col min="12" max="12" width="12" style="1"/>
    <col min="13" max="18" width="10.75" style="1" customWidth="1"/>
    <col min="19" max="16384" width="12" style="1"/>
  </cols>
  <sheetData>
    <row r="2" spans="2:18" x14ac:dyDescent="0.3">
      <c r="B2" s="1" t="s">
        <v>0</v>
      </c>
    </row>
    <row r="3" spans="2:18" x14ac:dyDescent="0.3">
      <c r="B3" s="18" t="s">
        <v>1</v>
      </c>
      <c r="C3" s="18" t="s">
        <v>2</v>
      </c>
      <c r="D3" s="18" t="s">
        <v>12</v>
      </c>
      <c r="E3" s="18" t="s">
        <v>101</v>
      </c>
      <c r="F3" s="18" t="s">
        <v>93</v>
      </c>
      <c r="G3" s="18" t="s">
        <v>94</v>
      </c>
      <c r="H3" s="18" t="s">
        <v>96</v>
      </c>
      <c r="I3" s="19" t="s">
        <v>13</v>
      </c>
      <c r="J3" s="6" t="s">
        <v>14</v>
      </c>
      <c r="L3" s="9" t="s">
        <v>15</v>
      </c>
    </row>
    <row r="4" spans="2:18" x14ac:dyDescent="0.3">
      <c r="B4" s="14">
        <v>17101001</v>
      </c>
      <c r="C4" s="14" t="s">
        <v>24</v>
      </c>
      <c r="D4" s="27">
        <v>101</v>
      </c>
      <c r="E4" s="14" t="s">
        <v>25</v>
      </c>
      <c r="F4" s="20">
        <v>94</v>
      </c>
      <c r="G4" s="20">
        <v>72</v>
      </c>
      <c r="H4" s="20">
        <v>66</v>
      </c>
      <c r="I4" s="10" t="str">
        <f>_xlfn.XLOOKUP(SUMPRODUCT(F4:H4,{0.4,0.3,0.3}),$M$11:$Q$11,$M$12:$Q$12,,-1)</f>
        <v>C</v>
      </c>
      <c r="J4" s="10" t="str" cm="1">
        <f t="array" ref="J4">fn비고(F4,G4,H4)</f>
        <v/>
      </c>
      <c r="L4" s="33" t="s">
        <v>16</v>
      </c>
      <c r="M4" s="10" t="s">
        <v>12</v>
      </c>
      <c r="N4" s="10" t="s">
        <v>12</v>
      </c>
      <c r="O4" s="10" t="s">
        <v>12</v>
      </c>
      <c r="P4" s="10" t="s">
        <v>12</v>
      </c>
      <c r="Q4" s="10" t="s">
        <v>12</v>
      </c>
      <c r="R4" s="10" t="s">
        <v>12</v>
      </c>
    </row>
    <row r="5" spans="2:18" x14ac:dyDescent="0.3">
      <c r="B5" s="14">
        <v>18102030</v>
      </c>
      <c r="C5" s="14" t="s">
        <v>26</v>
      </c>
      <c r="D5" s="27">
        <v>102</v>
      </c>
      <c r="E5" s="14" t="s">
        <v>27</v>
      </c>
      <c r="F5" s="20">
        <v>100</v>
      </c>
      <c r="G5" s="20">
        <v>74</v>
      </c>
      <c r="H5" s="20">
        <v>67</v>
      </c>
      <c r="I5" s="10" t="str">
        <f>_xlfn.XLOOKUP(SUMPRODUCT(F5:H5,{0.4,0.3,0.3}),$M$11:$Q$11,$M$12:$Q$12,,-1)</f>
        <v>B</v>
      </c>
      <c r="J5" s="10" t="str" cm="1">
        <f t="array" ref="J5">fn비고(F5,G5,H5)</f>
        <v/>
      </c>
      <c r="L5" s="34"/>
      <c r="M5" s="28">
        <v>101</v>
      </c>
      <c r="N5" s="28">
        <v>102</v>
      </c>
      <c r="O5" s="28">
        <v>103</v>
      </c>
      <c r="P5" s="28">
        <v>104</v>
      </c>
      <c r="Q5" s="28">
        <v>105</v>
      </c>
      <c r="R5" s="28">
        <v>106</v>
      </c>
    </row>
    <row r="6" spans="2:18" x14ac:dyDescent="0.3">
      <c r="B6" s="14">
        <v>19103022</v>
      </c>
      <c r="C6" s="14" t="s">
        <v>28</v>
      </c>
      <c r="D6" s="27">
        <v>103</v>
      </c>
      <c r="E6" s="14" t="s">
        <v>29</v>
      </c>
      <c r="F6" s="20">
        <v>64</v>
      </c>
      <c r="G6" s="20">
        <v>100</v>
      </c>
      <c r="H6" s="20">
        <v>84</v>
      </c>
      <c r="I6" s="10" t="str">
        <f>_xlfn.XLOOKUP(SUMPRODUCT(F6:H6,{0.4,0.3,0.3}),$M$11:$Q$11,$M$12:$Q$12,,-1)</f>
        <v>B</v>
      </c>
      <c r="J6" s="10" t="str" cm="1">
        <f t="array" ref="J6">fn비고(F6,G6,H6)</f>
        <v/>
      </c>
      <c r="L6" s="11" t="s">
        <v>17</v>
      </c>
      <c r="M6" s="10" t="str">
        <f>REPT("◎",DCOUNTA($B$3:$J$28,3,M4:M5))</f>
        <v>◎◎◎◎◎</v>
      </c>
      <c r="N6" s="10" t="str">
        <f t="shared" ref="N6:R6" si="0">REPT("◎",DCOUNTA($B$3:$J$28,3,N4:N5))</f>
        <v>◎◎◎◎</v>
      </c>
      <c r="O6" s="10" t="str">
        <f t="shared" si="0"/>
        <v>◎◎◎◎</v>
      </c>
      <c r="P6" s="10" t="str">
        <f t="shared" si="0"/>
        <v>◎◎◎◎</v>
      </c>
      <c r="Q6" s="10" t="str">
        <f t="shared" si="0"/>
        <v>◎◎◎◎</v>
      </c>
      <c r="R6" s="10" t="str">
        <f t="shared" si="0"/>
        <v>◎◎◎◎</v>
      </c>
    </row>
    <row r="7" spans="2:18" x14ac:dyDescent="0.3">
      <c r="B7" s="14">
        <v>17104020</v>
      </c>
      <c r="C7" s="14" t="s">
        <v>30</v>
      </c>
      <c r="D7" s="27">
        <v>104</v>
      </c>
      <c r="E7" s="14" t="s">
        <v>31</v>
      </c>
      <c r="F7" s="20">
        <v>89</v>
      </c>
      <c r="G7" s="20">
        <v>99</v>
      </c>
      <c r="H7" s="20">
        <v>92</v>
      </c>
      <c r="I7" s="10" t="str">
        <f>_xlfn.XLOOKUP(SUMPRODUCT(F7:H7,{0.4,0.3,0.3}),$M$11:$Q$11,$M$12:$Q$12,,-1)</f>
        <v>A</v>
      </c>
      <c r="J7" s="10" t="str" cm="1">
        <f t="array" ref="J7">fn비고(F7,G7,H7)</f>
        <v>92.9-상위권</v>
      </c>
      <c r="L7" s="11" t="s">
        <v>107</v>
      </c>
      <c r="M7" s="10">
        <f t="array" ref="M7">IFERROR(AVERAGE(IF(($D$4:$D$28=M5)*($H$4:$H$28&gt;=90),$H$4:$H$28)),"해당없음")</f>
        <v>95.666666666666671</v>
      </c>
      <c r="N7" s="10">
        <f t="array" ref="N7">IFERROR(AVERAGE(IF(($D$4:$D$28=N5)*($H$4:$H$28&gt;=90),$H$4:$H$28)),"해당없음")</f>
        <v>97</v>
      </c>
      <c r="O7" s="10">
        <f t="array" ref="O7">IFERROR(AVERAGE(IF(($D$4:$D$28=O5)*($H$4:$H$28&gt;=90),$H$4:$H$28)),"해당없음")</f>
        <v>94.666666666666671</v>
      </c>
      <c r="P7" s="10">
        <f t="array" ref="P7">IFERROR(AVERAGE(IF(($D$4:$D$28=P5)*($H$4:$H$28&gt;=90),$H$4:$H$28)),"해당없음")</f>
        <v>93.5</v>
      </c>
      <c r="Q7" s="10" t="str">
        <f t="array" ref="Q7">IFERROR(AVERAGE(IF(($D$4:$D$28=Q5)*($H$4:$H$28&gt;=90),$H$4:$H$28)),"해당없음")</f>
        <v>해당없음</v>
      </c>
      <c r="R7" s="10">
        <f t="array" ref="R7">IFERROR(AVERAGE(IF(($D$4:$D$28=R5)*($H$4:$H$28&gt;=90),$H$4:$H$28)),"해당없음")</f>
        <v>97.5</v>
      </c>
    </row>
    <row r="8" spans="2:18" x14ac:dyDescent="0.3">
      <c r="B8" s="14">
        <v>18105035</v>
      </c>
      <c r="C8" s="14" t="s">
        <v>32</v>
      </c>
      <c r="D8" s="27">
        <v>105</v>
      </c>
      <c r="E8" s="14" t="s">
        <v>33</v>
      </c>
      <c r="F8" s="20">
        <v>63</v>
      </c>
      <c r="G8" s="20">
        <v>83</v>
      </c>
      <c r="H8" s="20">
        <v>69</v>
      </c>
      <c r="I8" s="10" t="str">
        <f>_xlfn.XLOOKUP(SUMPRODUCT(F8:H8,{0.4,0.3,0.3}),$M$11:$Q$11,$M$12:$Q$12,,-1)</f>
        <v>C</v>
      </c>
      <c r="J8" s="10" t="str" cm="1">
        <f t="array" ref="J8">fn비고(F8,G8,H8)</f>
        <v/>
      </c>
      <c r="L8" s="11" t="s">
        <v>106</v>
      </c>
      <c r="M8" s="10" t="str">
        <f t="array" ref="M8">INDEX($C$4:$C$28,MATCH(MAX(($D$4:$D$28=M5)*$F$4:$F$28),($D$4:$D$28=M5)*$F$4:$F$28,0))</f>
        <v>윤보라</v>
      </c>
      <c r="N8" s="10" t="str">
        <f t="array" ref="N8">INDEX($C$4:$C$28,MATCH(MAX(($D$4:$D$28=N5)*$F$4:$F$28),($D$4:$D$28=N5)*$F$4:$F$28,0))</f>
        <v>유재우</v>
      </c>
      <c r="O8" s="10" t="str">
        <f t="array" ref="O8">INDEX($C$4:$C$28,MATCH(MAX(($D$4:$D$28=O5)*$F$4:$F$28),($D$4:$D$28=O5)*$F$4:$F$28,0))</f>
        <v>김준섭</v>
      </c>
      <c r="P8" s="10" t="str">
        <f t="array" ref="P8">INDEX($C$4:$C$28,MATCH(MAX(($D$4:$D$28=P5)*$F$4:$F$28),($D$4:$D$28=P5)*$F$4:$F$28,0))</f>
        <v>김도현</v>
      </c>
      <c r="Q8" s="10" t="str">
        <f t="array" ref="Q8">INDEX($C$4:$C$28,MATCH(MAX(($D$4:$D$28=Q5)*$F$4:$F$28),($D$4:$D$28=Q5)*$F$4:$F$28,0))</f>
        <v>김원종</v>
      </c>
      <c r="R8" s="10" t="str">
        <f t="array" ref="R8">INDEX($C$4:$C$28,MATCH(MAX(($D$4:$D$28=R5)*$F$4:$F$28),($D$4:$D$28=R5)*$F$4:$F$28,0))</f>
        <v>김민환</v>
      </c>
    </row>
    <row r="9" spans="2:18" x14ac:dyDescent="0.3">
      <c r="B9" s="14">
        <v>19106081</v>
      </c>
      <c r="C9" s="14" t="s">
        <v>34</v>
      </c>
      <c r="D9" s="27">
        <v>106</v>
      </c>
      <c r="E9" s="14" t="s">
        <v>35</v>
      </c>
      <c r="F9" s="20">
        <v>94</v>
      </c>
      <c r="G9" s="20">
        <v>98</v>
      </c>
      <c r="H9" s="20">
        <v>89</v>
      </c>
      <c r="I9" s="10" t="str">
        <f>_xlfn.XLOOKUP(SUMPRODUCT(F9:H9,{0.4,0.3,0.3}),$M$11:$Q$11,$M$12:$Q$12,,-1)</f>
        <v>A</v>
      </c>
      <c r="J9" s="10" t="str" cm="1">
        <f t="array" ref="J9">fn비고(F9,G9,H9)</f>
        <v>93.7-상위권</v>
      </c>
    </row>
    <row r="10" spans="2:18" x14ac:dyDescent="0.3">
      <c r="B10" s="14">
        <v>20101042</v>
      </c>
      <c r="C10" s="14" t="s">
        <v>36</v>
      </c>
      <c r="D10" s="27">
        <v>101</v>
      </c>
      <c r="E10" s="14" t="s">
        <v>37</v>
      </c>
      <c r="F10" s="20">
        <v>89</v>
      </c>
      <c r="G10" s="20">
        <v>82</v>
      </c>
      <c r="H10" s="20">
        <v>98</v>
      </c>
      <c r="I10" s="10" t="str">
        <f>_xlfn.XLOOKUP(SUMPRODUCT(F10:H10,{0.4,0.3,0.3}),$M$11:$Q$11,$M$12:$Q$12,,-1)</f>
        <v>B</v>
      </c>
      <c r="J10" s="10" t="str" cm="1">
        <f t="array" ref="J10">fn비고(F10,G10,H10)</f>
        <v>89.6-상위권</v>
      </c>
      <c r="L10" s="9" t="s">
        <v>18</v>
      </c>
    </row>
    <row r="11" spans="2:18" x14ac:dyDescent="0.3">
      <c r="B11" s="14">
        <v>19102033</v>
      </c>
      <c r="C11" s="14" t="s">
        <v>38</v>
      </c>
      <c r="D11" s="27">
        <v>102</v>
      </c>
      <c r="E11" s="14" t="s">
        <v>39</v>
      </c>
      <c r="F11" s="20">
        <v>98</v>
      </c>
      <c r="G11" s="20">
        <v>82</v>
      </c>
      <c r="H11" s="20">
        <v>66</v>
      </c>
      <c r="I11" s="10" t="str">
        <f>_xlfn.XLOOKUP(SUMPRODUCT(F11:H11,{0.4,0.3,0.3}),$M$11:$Q$11,$M$12:$Q$12,,-1)</f>
        <v>B</v>
      </c>
      <c r="J11" s="10" t="str" cm="1">
        <f t="array" ref="J11">fn비고(F11,G11,H11)</f>
        <v/>
      </c>
      <c r="L11" s="12" t="s">
        <v>19</v>
      </c>
      <c r="M11" s="10">
        <v>0</v>
      </c>
      <c r="N11" s="10">
        <v>60</v>
      </c>
      <c r="O11" s="12">
        <v>70</v>
      </c>
      <c r="P11" s="12">
        <v>80</v>
      </c>
      <c r="Q11" s="12">
        <v>90</v>
      </c>
    </row>
    <row r="12" spans="2:18" x14ac:dyDescent="0.3">
      <c r="B12" s="14">
        <v>20103082</v>
      </c>
      <c r="C12" s="14" t="s">
        <v>40</v>
      </c>
      <c r="D12" s="27">
        <v>103</v>
      </c>
      <c r="E12" s="14" t="s">
        <v>41</v>
      </c>
      <c r="F12" s="20">
        <v>70</v>
      </c>
      <c r="G12" s="20">
        <v>62</v>
      </c>
      <c r="H12" s="20">
        <v>90</v>
      </c>
      <c r="I12" s="10" t="str">
        <f>_xlfn.XLOOKUP(SUMPRODUCT(F12:H12,{0.4,0.3,0.3}),$M$11:$Q$11,$M$12:$Q$12,,-1)</f>
        <v>C</v>
      </c>
      <c r="J12" s="10" t="str" cm="1">
        <f t="array" ref="J12">fn비고(F12,G12,H12)</f>
        <v/>
      </c>
      <c r="L12" s="12" t="s">
        <v>13</v>
      </c>
      <c r="M12" s="12" t="s">
        <v>20</v>
      </c>
      <c r="N12" s="12" t="s">
        <v>21</v>
      </c>
      <c r="O12" s="12" t="s">
        <v>22</v>
      </c>
      <c r="P12" s="12" t="s">
        <v>11</v>
      </c>
      <c r="Q12" s="12" t="s">
        <v>23</v>
      </c>
    </row>
    <row r="13" spans="2:18" x14ac:dyDescent="0.3">
      <c r="B13" s="14">
        <v>17104082</v>
      </c>
      <c r="C13" s="14" t="s">
        <v>42</v>
      </c>
      <c r="D13" s="27">
        <v>104</v>
      </c>
      <c r="E13" s="14" t="s">
        <v>43</v>
      </c>
      <c r="F13" s="20">
        <v>99</v>
      </c>
      <c r="G13" s="20">
        <v>87</v>
      </c>
      <c r="H13" s="20">
        <v>80</v>
      </c>
      <c r="I13" s="10" t="str">
        <f>_xlfn.XLOOKUP(SUMPRODUCT(F13:H13,{0.4,0.3,0.3}),$M$11:$Q$11,$M$12:$Q$12,,-1)</f>
        <v>B</v>
      </c>
      <c r="J13" s="10" t="str" cm="1">
        <f t="array" ref="J13">fn비고(F13,G13,H13)</f>
        <v>89.7-상위권</v>
      </c>
    </row>
    <row r="14" spans="2:18" x14ac:dyDescent="0.3">
      <c r="B14" s="14">
        <v>18105011</v>
      </c>
      <c r="C14" s="14" t="s">
        <v>44</v>
      </c>
      <c r="D14" s="27">
        <v>105</v>
      </c>
      <c r="E14" s="14" t="s">
        <v>45</v>
      </c>
      <c r="F14" s="20">
        <v>94</v>
      </c>
      <c r="G14" s="20">
        <v>93</v>
      </c>
      <c r="H14" s="20">
        <v>73</v>
      </c>
      <c r="I14" s="10" t="str">
        <f>_xlfn.XLOOKUP(SUMPRODUCT(F14:H14,{0.4,0.3,0.3}),$M$11:$Q$11,$M$12:$Q$12,,-1)</f>
        <v>B</v>
      </c>
      <c r="J14" s="10" t="str" cm="1">
        <f t="array" ref="J14">fn비고(F14,G14,H14)</f>
        <v/>
      </c>
    </row>
    <row r="15" spans="2:18" x14ac:dyDescent="0.3">
      <c r="B15" s="14">
        <v>19106014</v>
      </c>
      <c r="C15" s="14" t="s">
        <v>46</v>
      </c>
      <c r="D15" s="27">
        <v>106</v>
      </c>
      <c r="E15" s="14" t="s">
        <v>47</v>
      </c>
      <c r="F15" s="20">
        <v>70</v>
      </c>
      <c r="G15" s="20">
        <v>70</v>
      </c>
      <c r="H15" s="20">
        <v>96</v>
      </c>
      <c r="I15" s="10" t="str">
        <f>_xlfn.XLOOKUP(SUMPRODUCT(F15:H15,{0.4,0.3,0.3}),$M$11:$Q$11,$M$12:$Q$12,,-1)</f>
        <v>C</v>
      </c>
      <c r="J15" s="10" t="str" cm="1">
        <f t="array" ref="J15">fn비고(F15,G15,H15)</f>
        <v/>
      </c>
    </row>
    <row r="16" spans="2:18" x14ac:dyDescent="0.3">
      <c r="B16" s="14">
        <v>17101092</v>
      </c>
      <c r="C16" s="14" t="s">
        <v>48</v>
      </c>
      <c r="D16" s="27">
        <v>101</v>
      </c>
      <c r="E16" s="14" t="s">
        <v>49</v>
      </c>
      <c r="F16" s="20">
        <v>88</v>
      </c>
      <c r="G16" s="20">
        <v>100</v>
      </c>
      <c r="H16" s="20">
        <v>70</v>
      </c>
      <c r="I16" s="10" t="str">
        <f>_xlfn.XLOOKUP(SUMPRODUCT(F16:H16,{0.4,0.3,0.3}),$M$11:$Q$11,$M$12:$Q$12,,-1)</f>
        <v>B</v>
      </c>
      <c r="J16" s="10" t="str" cm="1">
        <f t="array" ref="J16">fn비고(F16,G16,H16)</f>
        <v/>
      </c>
    </row>
    <row r="17" spans="2:10" x14ac:dyDescent="0.3">
      <c r="B17" s="14">
        <v>18102031</v>
      </c>
      <c r="C17" s="14" t="s">
        <v>50</v>
      </c>
      <c r="D17" s="27">
        <v>102</v>
      </c>
      <c r="E17" s="14" t="s">
        <v>51</v>
      </c>
      <c r="F17" s="20">
        <v>84</v>
      </c>
      <c r="G17" s="20">
        <v>73</v>
      </c>
      <c r="H17" s="20">
        <v>95</v>
      </c>
      <c r="I17" s="10" t="str">
        <f>_xlfn.XLOOKUP(SUMPRODUCT(F17:H17,{0.4,0.3,0.3}),$M$11:$Q$11,$M$12:$Q$12,,-1)</f>
        <v>B</v>
      </c>
      <c r="J17" s="10" t="str" cm="1">
        <f t="array" ref="J17">fn비고(F17,G17,H17)</f>
        <v/>
      </c>
    </row>
    <row r="18" spans="2:10" x14ac:dyDescent="0.3">
      <c r="B18" s="14">
        <v>19103011</v>
      </c>
      <c r="C18" s="14" t="s">
        <v>52</v>
      </c>
      <c r="D18" s="27">
        <v>103</v>
      </c>
      <c r="E18" s="14" t="s">
        <v>53</v>
      </c>
      <c r="F18" s="20">
        <v>80</v>
      </c>
      <c r="G18" s="20">
        <v>77</v>
      </c>
      <c r="H18" s="20">
        <v>100</v>
      </c>
      <c r="I18" s="10" t="str">
        <f>_xlfn.XLOOKUP(SUMPRODUCT(F18:H18,{0.4,0.3,0.3}),$M$11:$Q$11,$M$12:$Q$12,,-1)</f>
        <v>B</v>
      </c>
      <c r="J18" s="10" t="str" cm="1">
        <f t="array" ref="J18">fn비고(F18,G18,H18)</f>
        <v/>
      </c>
    </row>
    <row r="19" spans="2:10" x14ac:dyDescent="0.3">
      <c r="B19" s="14">
        <v>17104002</v>
      </c>
      <c r="C19" s="14" t="s">
        <v>54</v>
      </c>
      <c r="D19" s="27">
        <v>104</v>
      </c>
      <c r="E19" s="14" t="s">
        <v>55</v>
      </c>
      <c r="F19" s="20">
        <v>74</v>
      </c>
      <c r="G19" s="20">
        <v>93</v>
      </c>
      <c r="H19" s="20">
        <v>95</v>
      </c>
      <c r="I19" s="10" t="str">
        <f>_xlfn.XLOOKUP(SUMPRODUCT(F19:H19,{0.4,0.3,0.3}),$M$11:$Q$11,$M$12:$Q$12,,-1)</f>
        <v>B</v>
      </c>
      <c r="J19" s="10" t="str" cm="1">
        <f t="array" ref="J19">fn비고(F19,G19,H19)</f>
        <v/>
      </c>
    </row>
    <row r="20" spans="2:10" x14ac:dyDescent="0.3">
      <c r="B20" s="14">
        <v>18105042</v>
      </c>
      <c r="C20" s="14" t="s">
        <v>56</v>
      </c>
      <c r="D20" s="27">
        <v>105</v>
      </c>
      <c r="E20" s="14" t="s">
        <v>57</v>
      </c>
      <c r="F20" s="20">
        <v>89</v>
      </c>
      <c r="G20" s="20">
        <v>69</v>
      </c>
      <c r="H20" s="20">
        <v>76</v>
      </c>
      <c r="I20" s="10" t="str">
        <f>_xlfn.XLOOKUP(SUMPRODUCT(F20:H20,{0.4,0.3,0.3}),$M$11:$Q$11,$M$12:$Q$12,,-1)</f>
        <v>C</v>
      </c>
      <c r="J20" s="10" t="str" cm="1">
        <f t="array" ref="J20">fn비고(F20,G20,H20)</f>
        <v/>
      </c>
    </row>
    <row r="21" spans="2:10" x14ac:dyDescent="0.3">
      <c r="B21" s="14">
        <v>19106088</v>
      </c>
      <c r="C21" s="14" t="s">
        <v>58</v>
      </c>
      <c r="D21" s="27">
        <v>106</v>
      </c>
      <c r="E21" s="14" t="s">
        <v>59</v>
      </c>
      <c r="F21" s="20">
        <v>99</v>
      </c>
      <c r="G21" s="20">
        <v>63</v>
      </c>
      <c r="H21" s="20">
        <v>99</v>
      </c>
      <c r="I21" s="10" t="str">
        <f>_xlfn.XLOOKUP(SUMPRODUCT(F21:H21,{0.4,0.3,0.3}),$M$11:$Q$11,$M$12:$Q$12,,-1)</f>
        <v>B</v>
      </c>
      <c r="J21" s="10" t="str" cm="1">
        <f t="array" ref="J21">fn비고(F21,G21,H21)</f>
        <v/>
      </c>
    </row>
    <row r="22" spans="2:10" x14ac:dyDescent="0.3">
      <c r="B22" s="14">
        <v>20101045</v>
      </c>
      <c r="C22" s="14" t="s">
        <v>60</v>
      </c>
      <c r="D22" s="27">
        <v>101</v>
      </c>
      <c r="E22" s="14" t="s">
        <v>61</v>
      </c>
      <c r="F22" s="20">
        <v>68</v>
      </c>
      <c r="G22" s="20">
        <v>84</v>
      </c>
      <c r="H22" s="20">
        <v>91</v>
      </c>
      <c r="I22" s="10" t="str">
        <f>_xlfn.XLOOKUP(SUMPRODUCT(F22:H22,{0.4,0.3,0.3}),$M$11:$Q$11,$M$12:$Q$12,,-1)</f>
        <v>C</v>
      </c>
      <c r="J22" s="10" t="str" cm="1">
        <f t="array" ref="J22">fn비고(F22,G22,H22)</f>
        <v/>
      </c>
    </row>
    <row r="23" spans="2:10" x14ac:dyDescent="0.3">
      <c r="B23" s="14">
        <v>19102036</v>
      </c>
      <c r="C23" s="14" t="s">
        <v>62</v>
      </c>
      <c r="D23" s="27">
        <v>102</v>
      </c>
      <c r="E23" s="14" t="s">
        <v>63</v>
      </c>
      <c r="F23" s="20">
        <v>80</v>
      </c>
      <c r="G23" s="20">
        <v>79</v>
      </c>
      <c r="H23" s="20">
        <v>99</v>
      </c>
      <c r="I23" s="10" t="str">
        <f>_xlfn.XLOOKUP(SUMPRODUCT(F23:H23,{0.4,0.3,0.3}),$M$11:$Q$11,$M$12:$Q$12,,-1)</f>
        <v>B</v>
      </c>
      <c r="J23" s="10" t="str" cm="1">
        <f t="array" ref="J23">fn비고(F23,G23,H23)</f>
        <v/>
      </c>
    </row>
    <row r="24" spans="2:10" x14ac:dyDescent="0.3">
      <c r="B24" s="14">
        <v>20103099</v>
      </c>
      <c r="C24" s="14" t="s">
        <v>64</v>
      </c>
      <c r="D24" s="27">
        <v>103</v>
      </c>
      <c r="E24" s="14" t="s">
        <v>65</v>
      </c>
      <c r="F24" s="20">
        <v>74</v>
      </c>
      <c r="G24" s="20">
        <v>97</v>
      </c>
      <c r="H24" s="20">
        <v>94</v>
      </c>
      <c r="I24" s="10" t="str">
        <f>_xlfn.XLOOKUP(SUMPRODUCT(F24:H24,{0.4,0.3,0.3}),$M$11:$Q$11,$M$12:$Q$12,,-1)</f>
        <v>B</v>
      </c>
      <c r="J24" s="10" t="str" cm="1">
        <f t="array" ref="J24">fn비고(F24,G24,H24)</f>
        <v/>
      </c>
    </row>
    <row r="25" spans="2:10" x14ac:dyDescent="0.3">
      <c r="B25" s="14">
        <v>17104029</v>
      </c>
      <c r="C25" s="14" t="s">
        <v>66</v>
      </c>
      <c r="D25" s="27">
        <v>104</v>
      </c>
      <c r="E25" s="14" t="s">
        <v>67</v>
      </c>
      <c r="F25" s="20">
        <v>96</v>
      </c>
      <c r="G25" s="20">
        <v>87</v>
      </c>
      <c r="H25" s="20">
        <v>64</v>
      </c>
      <c r="I25" s="10" t="str">
        <f>_xlfn.XLOOKUP(SUMPRODUCT(F25:H25,{0.4,0.3,0.3}),$M$11:$Q$11,$M$12:$Q$12,,-1)</f>
        <v>B</v>
      </c>
      <c r="J25" s="10" t="str" cm="1">
        <f t="array" ref="J25">fn비고(F25,G25,H25)</f>
        <v/>
      </c>
    </row>
    <row r="26" spans="2:10" x14ac:dyDescent="0.3">
      <c r="B26" s="14">
        <v>18105045</v>
      </c>
      <c r="C26" s="14" t="s">
        <v>68</v>
      </c>
      <c r="D26" s="27">
        <v>105</v>
      </c>
      <c r="E26" s="14" t="s">
        <v>69</v>
      </c>
      <c r="F26" s="20">
        <v>71</v>
      </c>
      <c r="G26" s="20">
        <v>78</v>
      </c>
      <c r="H26" s="20">
        <v>64</v>
      </c>
      <c r="I26" s="10" t="str">
        <f>_xlfn.XLOOKUP(SUMPRODUCT(F26:H26,{0.4,0.3,0.3}),$M$11:$Q$11,$M$12:$Q$12,,-1)</f>
        <v>C</v>
      </c>
      <c r="J26" s="10" t="str" cm="1">
        <f t="array" ref="J26">fn비고(F26,G26,H26)</f>
        <v/>
      </c>
    </row>
    <row r="27" spans="2:10" x14ac:dyDescent="0.3">
      <c r="B27" s="14">
        <v>19106111</v>
      </c>
      <c r="C27" s="14" t="s">
        <v>70</v>
      </c>
      <c r="D27" s="27">
        <v>106</v>
      </c>
      <c r="E27" s="14" t="s">
        <v>71</v>
      </c>
      <c r="F27" s="20">
        <v>94</v>
      </c>
      <c r="G27" s="20">
        <v>66</v>
      </c>
      <c r="H27" s="20">
        <v>72</v>
      </c>
      <c r="I27" s="10" t="str">
        <f>_xlfn.XLOOKUP(SUMPRODUCT(F27:H27,{0.4,0.3,0.3}),$M$11:$Q$11,$M$12:$Q$12,,-1)</f>
        <v>C</v>
      </c>
      <c r="J27" s="10" t="str" cm="1">
        <f t="array" ref="J27">fn비고(F27,G27,H27)</f>
        <v/>
      </c>
    </row>
    <row r="28" spans="2:10" x14ac:dyDescent="0.3">
      <c r="B28" s="14">
        <v>20101241</v>
      </c>
      <c r="C28" s="14" t="s">
        <v>72</v>
      </c>
      <c r="D28" s="27">
        <v>101</v>
      </c>
      <c r="E28" s="14" t="s">
        <v>73</v>
      </c>
      <c r="F28" s="20">
        <v>62</v>
      </c>
      <c r="G28" s="20">
        <v>88</v>
      </c>
      <c r="H28" s="20">
        <v>98</v>
      </c>
      <c r="I28" s="10" t="str">
        <f>_xlfn.XLOOKUP(SUMPRODUCT(F28:H28,{0.4,0.3,0.3}),$M$11:$Q$11,$M$12:$Q$12,,-1)</f>
        <v>B</v>
      </c>
      <c r="J28" s="10" t="str" cm="1">
        <f t="array" ref="J28">fn비고(F28,G28,H28)</f>
        <v/>
      </c>
    </row>
    <row r="29" spans="2:10" x14ac:dyDescent="0.3">
      <c r="B29" s="2"/>
      <c r="C29" s="7"/>
      <c r="D29" s="7"/>
      <c r="E29" s="7"/>
      <c r="F29" s="8"/>
      <c r="G29" s="8"/>
      <c r="H29" s="8"/>
      <c r="I29" s="7"/>
      <c r="J29" s="7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</sheetData>
  <mergeCells count="1">
    <mergeCell ref="L4:L5"/>
  </mergeCells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F28"/>
  <sheetViews>
    <sheetView workbookViewId="0">
      <selection activeCell="M35" sqref="M35"/>
    </sheetView>
  </sheetViews>
  <sheetFormatPr defaultRowHeight="16.5" x14ac:dyDescent="0.3"/>
  <cols>
    <col min="2" max="2" width="11.875" bestFit="1" customWidth="1"/>
    <col min="3" max="3" width="16.625" bestFit="1" customWidth="1"/>
    <col min="4" max="4" width="10.375" bestFit="1" customWidth="1"/>
    <col min="5" max="7" width="14.5" bestFit="1" customWidth="1"/>
  </cols>
  <sheetData>
    <row r="2" spans="2:6" x14ac:dyDescent="0.3">
      <c r="B2" s="29" t="s">
        <v>4</v>
      </c>
      <c r="C2" s="29" t="s">
        <v>3</v>
      </c>
      <c r="D2" t="s">
        <v>121</v>
      </c>
      <c r="E2" t="s">
        <v>122</v>
      </c>
      <c r="F2" t="s">
        <v>123</v>
      </c>
    </row>
    <row r="3" spans="2:6" x14ac:dyDescent="0.3">
      <c r="B3" t="s">
        <v>84</v>
      </c>
      <c r="D3" s="30"/>
      <c r="E3" s="30"/>
      <c r="F3" s="30"/>
    </row>
    <row r="4" spans="2:6" x14ac:dyDescent="0.3">
      <c r="C4" t="s">
        <v>112</v>
      </c>
      <c r="D4" s="30">
        <v>93</v>
      </c>
      <c r="E4" s="30">
        <v>89</v>
      </c>
      <c r="F4" s="30">
        <v>99</v>
      </c>
    </row>
    <row r="5" spans="2:6" x14ac:dyDescent="0.3">
      <c r="C5" t="s">
        <v>113</v>
      </c>
      <c r="D5" s="30">
        <v>98</v>
      </c>
      <c r="E5" s="30">
        <v>82</v>
      </c>
      <c r="F5" s="30">
        <v>66</v>
      </c>
    </row>
    <row r="6" spans="2:6" x14ac:dyDescent="0.3">
      <c r="C6" t="s">
        <v>114</v>
      </c>
      <c r="D6" s="30">
        <v>80</v>
      </c>
      <c r="E6" s="30">
        <v>79</v>
      </c>
      <c r="F6" s="30">
        <v>99</v>
      </c>
    </row>
    <row r="7" spans="2:6" x14ac:dyDescent="0.3">
      <c r="C7" t="s">
        <v>115</v>
      </c>
      <c r="D7" s="30">
        <v>92</v>
      </c>
      <c r="E7" s="30">
        <v>73.5</v>
      </c>
      <c r="F7" s="30">
        <v>81</v>
      </c>
    </row>
    <row r="8" spans="2:6" x14ac:dyDescent="0.3">
      <c r="B8" t="s">
        <v>82</v>
      </c>
      <c r="D8" s="30"/>
      <c r="E8" s="30"/>
      <c r="F8" s="30"/>
    </row>
    <row r="9" spans="2:6" x14ac:dyDescent="0.3">
      <c r="C9" t="s">
        <v>114</v>
      </c>
      <c r="D9" s="30">
        <v>91</v>
      </c>
      <c r="E9" s="30">
        <v>86</v>
      </c>
      <c r="F9" s="30">
        <v>68</v>
      </c>
    </row>
    <row r="10" spans="2:6" x14ac:dyDescent="0.3">
      <c r="C10" t="s">
        <v>116</v>
      </c>
      <c r="D10" s="30">
        <v>62</v>
      </c>
      <c r="E10" s="30">
        <v>88</v>
      </c>
      <c r="F10" s="30">
        <v>98</v>
      </c>
    </row>
    <row r="11" spans="2:6" x14ac:dyDescent="0.3">
      <c r="C11" t="s">
        <v>117</v>
      </c>
      <c r="D11" s="30">
        <v>89</v>
      </c>
      <c r="E11" s="30">
        <v>82</v>
      </c>
      <c r="F11" s="30">
        <v>98</v>
      </c>
    </row>
    <row r="12" spans="2:6" x14ac:dyDescent="0.3">
      <c r="C12" t="s">
        <v>118</v>
      </c>
      <c r="D12" s="30">
        <v>68</v>
      </c>
      <c r="E12" s="30">
        <v>84</v>
      </c>
      <c r="F12" s="30">
        <v>91</v>
      </c>
    </row>
    <row r="13" spans="2:6" x14ac:dyDescent="0.3">
      <c r="B13" t="s">
        <v>91</v>
      </c>
      <c r="D13" s="30"/>
      <c r="E13" s="30"/>
      <c r="F13" s="30"/>
    </row>
    <row r="14" spans="2:6" x14ac:dyDescent="0.3">
      <c r="C14" t="s">
        <v>114</v>
      </c>
      <c r="D14" s="30">
        <v>70</v>
      </c>
      <c r="E14" s="30">
        <v>70</v>
      </c>
      <c r="F14" s="30">
        <v>96</v>
      </c>
    </row>
    <row r="15" spans="2:6" x14ac:dyDescent="0.3">
      <c r="C15" t="s">
        <v>115</v>
      </c>
      <c r="D15" s="30">
        <v>92.25</v>
      </c>
      <c r="E15" s="30">
        <v>73</v>
      </c>
      <c r="F15" s="30">
        <v>87</v>
      </c>
    </row>
    <row r="16" spans="2:6" x14ac:dyDescent="0.3">
      <c r="B16" t="s">
        <v>7</v>
      </c>
      <c r="D16" s="30"/>
      <c r="E16" s="30"/>
      <c r="F16" s="30"/>
    </row>
    <row r="17" spans="2:6" x14ac:dyDescent="0.3">
      <c r="C17" t="s">
        <v>119</v>
      </c>
      <c r="D17" s="30">
        <v>89</v>
      </c>
      <c r="E17" s="30">
        <v>99</v>
      </c>
      <c r="F17" s="30">
        <v>92</v>
      </c>
    </row>
    <row r="18" spans="2:6" x14ac:dyDescent="0.3">
      <c r="C18" t="s">
        <v>113</v>
      </c>
      <c r="D18" s="30">
        <v>74</v>
      </c>
      <c r="E18" s="30">
        <v>93</v>
      </c>
      <c r="F18" s="30">
        <v>95</v>
      </c>
    </row>
    <row r="19" spans="2:6" x14ac:dyDescent="0.3">
      <c r="C19" t="s">
        <v>115</v>
      </c>
      <c r="D19" s="30">
        <v>93</v>
      </c>
      <c r="E19" s="30">
        <v>78.666666666666671</v>
      </c>
      <c r="F19" s="30">
        <v>77.666666666666671</v>
      </c>
    </row>
    <row r="20" spans="2:6" x14ac:dyDescent="0.3">
      <c r="B20" t="s">
        <v>86</v>
      </c>
      <c r="D20" s="30"/>
      <c r="E20" s="30"/>
      <c r="F20" s="30"/>
    </row>
    <row r="21" spans="2:6" x14ac:dyDescent="0.3">
      <c r="C21" t="s">
        <v>115</v>
      </c>
      <c r="D21" s="30">
        <v>80</v>
      </c>
      <c r="E21" s="30">
        <v>77</v>
      </c>
      <c r="F21" s="30">
        <v>100</v>
      </c>
    </row>
    <row r="22" spans="2:6" x14ac:dyDescent="0.3">
      <c r="C22" t="s">
        <v>116</v>
      </c>
      <c r="D22" s="30">
        <v>64</v>
      </c>
      <c r="E22" s="30">
        <v>100</v>
      </c>
      <c r="F22" s="30">
        <v>84</v>
      </c>
    </row>
    <row r="23" spans="2:6" x14ac:dyDescent="0.3">
      <c r="C23" t="s">
        <v>118</v>
      </c>
      <c r="D23" s="30">
        <v>79.5</v>
      </c>
      <c r="E23" s="30">
        <v>77.5</v>
      </c>
      <c r="F23" s="30">
        <v>76.5</v>
      </c>
    </row>
    <row r="24" spans="2:6" x14ac:dyDescent="0.3">
      <c r="C24" t="s">
        <v>120</v>
      </c>
      <c r="D24" s="30">
        <v>74</v>
      </c>
      <c r="E24" s="30">
        <v>97</v>
      </c>
      <c r="F24" s="30">
        <v>94</v>
      </c>
    </row>
    <row r="25" spans="2:6" x14ac:dyDescent="0.3">
      <c r="B25" t="s">
        <v>89</v>
      </c>
      <c r="D25" s="30"/>
      <c r="E25" s="30"/>
      <c r="F25" s="30"/>
    </row>
    <row r="26" spans="2:6" x14ac:dyDescent="0.3">
      <c r="C26" t="s">
        <v>114</v>
      </c>
      <c r="D26" s="30">
        <v>63</v>
      </c>
      <c r="E26" s="30">
        <v>83</v>
      </c>
      <c r="F26" s="30">
        <v>69</v>
      </c>
    </row>
    <row r="27" spans="2:6" x14ac:dyDescent="0.3">
      <c r="C27" t="s">
        <v>115</v>
      </c>
      <c r="D27" s="30">
        <v>82</v>
      </c>
      <c r="E27" s="30">
        <v>81.75</v>
      </c>
      <c r="F27" s="30">
        <v>71.25</v>
      </c>
    </row>
    <row r="28" spans="2:6" x14ac:dyDescent="0.3">
      <c r="B28" t="s">
        <v>108</v>
      </c>
      <c r="D28" s="30">
        <v>83.5</v>
      </c>
      <c r="E28" s="30">
        <v>81.733333333333334</v>
      </c>
      <c r="F28" s="30">
        <v>83.266666666666666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 filterMode="1"/>
  <dimension ref="A1:G32"/>
  <sheetViews>
    <sheetView workbookViewId="0">
      <selection activeCell="H55" sqref="H55"/>
    </sheetView>
  </sheetViews>
  <sheetFormatPr defaultRowHeight="16.5" x14ac:dyDescent="0.3"/>
  <cols>
    <col min="1" max="1" width="2" customWidth="1"/>
    <col min="2" max="2" width="11.375" customWidth="1"/>
    <col min="3" max="3" width="10.375" customWidth="1"/>
    <col min="4" max="4" width="13.125" customWidth="1"/>
    <col min="5" max="5" width="14.375" customWidth="1"/>
    <col min="6" max="6" width="12.25" customWidth="1"/>
  </cols>
  <sheetData>
    <row r="1" spans="1:7" x14ac:dyDescent="0.3">
      <c r="A1" s="1"/>
      <c r="B1" s="1" t="s">
        <v>0</v>
      </c>
      <c r="C1" s="1"/>
      <c r="D1" s="1"/>
      <c r="E1" s="1"/>
      <c r="F1" s="1"/>
      <c r="G1" s="1"/>
    </row>
    <row r="2" spans="1:7" x14ac:dyDescent="0.3">
      <c r="A2" s="1"/>
      <c r="B2" s="17" t="s">
        <v>1</v>
      </c>
      <c r="C2" s="17" t="s">
        <v>2</v>
      </c>
      <c r="D2" s="17" t="s">
        <v>3</v>
      </c>
      <c r="E2" s="17" t="s">
        <v>4</v>
      </c>
      <c r="F2" s="17" t="s">
        <v>110</v>
      </c>
      <c r="G2" s="17" t="s">
        <v>111</v>
      </c>
    </row>
    <row r="3" spans="1:7" hidden="1" x14ac:dyDescent="0.3">
      <c r="A3" s="1"/>
      <c r="B3" s="14">
        <v>17101001</v>
      </c>
      <c r="C3" s="14" t="s">
        <v>24</v>
      </c>
      <c r="D3" s="15">
        <v>35671</v>
      </c>
      <c r="E3" s="14" t="s">
        <v>82</v>
      </c>
      <c r="F3" s="16">
        <v>17</v>
      </c>
      <c r="G3" s="16">
        <v>1001</v>
      </c>
    </row>
    <row r="4" spans="1:7" hidden="1" x14ac:dyDescent="0.3">
      <c r="A4" s="1"/>
      <c r="B4" s="14">
        <v>18102030</v>
      </c>
      <c r="C4" s="14" t="s">
        <v>26</v>
      </c>
      <c r="D4" s="15">
        <v>35968</v>
      </c>
      <c r="E4" s="14" t="s">
        <v>84</v>
      </c>
      <c r="F4" s="16">
        <v>18</v>
      </c>
      <c r="G4" s="16">
        <v>2030</v>
      </c>
    </row>
    <row r="5" spans="1:7" hidden="1" x14ac:dyDescent="0.3">
      <c r="A5" s="1"/>
      <c r="B5" s="14">
        <v>19103022</v>
      </c>
      <c r="C5" s="14" t="s">
        <v>28</v>
      </c>
      <c r="D5" s="15">
        <v>36284</v>
      </c>
      <c r="E5" s="14" t="s">
        <v>86</v>
      </c>
      <c r="F5" s="16">
        <v>19</v>
      </c>
      <c r="G5" s="16">
        <v>3022</v>
      </c>
    </row>
    <row r="6" spans="1:7" hidden="1" x14ac:dyDescent="0.3">
      <c r="A6" s="1"/>
      <c r="B6" s="14">
        <v>17104020</v>
      </c>
      <c r="C6" s="14" t="s">
        <v>30</v>
      </c>
      <c r="D6" s="15">
        <v>35038</v>
      </c>
      <c r="E6" s="14" t="s">
        <v>7</v>
      </c>
      <c r="F6" s="16">
        <v>17</v>
      </c>
      <c r="G6" s="16">
        <v>4020</v>
      </c>
    </row>
    <row r="7" spans="1:7" hidden="1" x14ac:dyDescent="0.3">
      <c r="A7" s="1"/>
      <c r="B7" s="14">
        <v>18105035</v>
      </c>
      <c r="C7" s="14" t="s">
        <v>32</v>
      </c>
      <c r="D7" s="15">
        <v>35464</v>
      </c>
      <c r="E7" s="14" t="s">
        <v>89</v>
      </c>
      <c r="F7" s="16">
        <v>18</v>
      </c>
      <c r="G7" s="16">
        <v>5035</v>
      </c>
    </row>
    <row r="8" spans="1:7" hidden="1" x14ac:dyDescent="0.3">
      <c r="A8" s="1"/>
      <c r="B8" s="14">
        <v>19106081</v>
      </c>
      <c r="C8" s="14" t="s">
        <v>34</v>
      </c>
      <c r="D8" s="15">
        <v>35917</v>
      </c>
      <c r="E8" s="14" t="s">
        <v>91</v>
      </c>
      <c r="F8" s="16">
        <v>19</v>
      </c>
      <c r="G8" s="16">
        <v>6081</v>
      </c>
    </row>
    <row r="9" spans="1:7" x14ac:dyDescent="0.3">
      <c r="A9" s="1"/>
      <c r="B9" s="14">
        <v>20101042</v>
      </c>
      <c r="C9" s="14" t="s">
        <v>36</v>
      </c>
      <c r="D9" s="15">
        <v>36744</v>
      </c>
      <c r="E9" s="14" t="s">
        <v>82</v>
      </c>
      <c r="F9" s="16">
        <v>20</v>
      </c>
      <c r="G9" s="16">
        <v>1042</v>
      </c>
    </row>
    <row r="10" spans="1:7" hidden="1" x14ac:dyDescent="0.3">
      <c r="A10" s="1"/>
      <c r="B10" s="14">
        <v>19102033</v>
      </c>
      <c r="C10" s="14" t="s">
        <v>38</v>
      </c>
      <c r="D10" s="15">
        <v>35315</v>
      </c>
      <c r="E10" s="14" t="s">
        <v>84</v>
      </c>
      <c r="F10" s="16">
        <v>19</v>
      </c>
      <c r="G10" s="16">
        <v>2033</v>
      </c>
    </row>
    <row r="11" spans="1:7" x14ac:dyDescent="0.3">
      <c r="A11" s="1"/>
      <c r="B11" s="14">
        <v>20103082</v>
      </c>
      <c r="C11" s="14" t="s">
        <v>40</v>
      </c>
      <c r="D11" s="15">
        <v>36984</v>
      </c>
      <c r="E11" s="14" t="s">
        <v>86</v>
      </c>
      <c r="F11" s="16">
        <v>20</v>
      </c>
      <c r="G11" s="16">
        <v>3082</v>
      </c>
    </row>
    <row r="12" spans="1:7" hidden="1" x14ac:dyDescent="0.3">
      <c r="A12" s="1"/>
      <c r="B12" s="14">
        <v>17104082</v>
      </c>
      <c r="C12" s="14" t="s">
        <v>42</v>
      </c>
      <c r="D12" s="15">
        <v>36144</v>
      </c>
      <c r="E12" s="14" t="s">
        <v>7</v>
      </c>
      <c r="F12" s="16">
        <v>17</v>
      </c>
      <c r="G12" s="16">
        <v>4082</v>
      </c>
    </row>
    <row r="13" spans="1:7" hidden="1" x14ac:dyDescent="0.3">
      <c r="A13" s="1"/>
      <c r="B13" s="14">
        <v>18105011</v>
      </c>
      <c r="C13" s="14" t="s">
        <v>44</v>
      </c>
      <c r="D13" s="15">
        <v>35977</v>
      </c>
      <c r="E13" s="14" t="s">
        <v>89</v>
      </c>
      <c r="F13" s="16">
        <v>18</v>
      </c>
      <c r="G13" s="16">
        <v>5011</v>
      </c>
    </row>
    <row r="14" spans="1:7" hidden="1" x14ac:dyDescent="0.3">
      <c r="A14" s="1"/>
      <c r="B14" s="14">
        <v>19106014</v>
      </c>
      <c r="C14" s="14" t="s">
        <v>46</v>
      </c>
      <c r="D14" s="15">
        <v>35742</v>
      </c>
      <c r="E14" s="14" t="s">
        <v>91</v>
      </c>
      <c r="F14" s="16">
        <v>19</v>
      </c>
      <c r="G14" s="16">
        <v>6014</v>
      </c>
    </row>
    <row r="15" spans="1:7" hidden="1" x14ac:dyDescent="0.3">
      <c r="A15" s="1"/>
      <c r="B15" s="14">
        <v>17101092</v>
      </c>
      <c r="C15" s="14" t="s">
        <v>48</v>
      </c>
      <c r="D15" s="15">
        <v>35539</v>
      </c>
      <c r="E15" s="14" t="s">
        <v>82</v>
      </c>
      <c r="F15" s="16">
        <v>17</v>
      </c>
      <c r="G15" s="16">
        <v>1092</v>
      </c>
    </row>
    <row r="16" spans="1:7" hidden="1" x14ac:dyDescent="0.3">
      <c r="A16" s="1"/>
      <c r="B16" s="14">
        <v>18102031</v>
      </c>
      <c r="C16" s="14" t="s">
        <v>50</v>
      </c>
      <c r="D16" s="15">
        <v>35920</v>
      </c>
      <c r="E16" s="14" t="s">
        <v>84</v>
      </c>
      <c r="F16" s="16">
        <v>18</v>
      </c>
      <c r="G16" s="16">
        <v>2031</v>
      </c>
    </row>
    <row r="17" spans="1:7" hidden="1" x14ac:dyDescent="0.3">
      <c r="A17" s="1"/>
      <c r="B17" s="14">
        <v>19103011</v>
      </c>
      <c r="C17" s="14" t="s">
        <v>52</v>
      </c>
      <c r="D17" s="15">
        <v>35907</v>
      </c>
      <c r="E17" s="14" t="s">
        <v>86</v>
      </c>
      <c r="F17" s="16">
        <v>19</v>
      </c>
      <c r="G17" s="16">
        <v>3011</v>
      </c>
    </row>
    <row r="18" spans="1:7" hidden="1" x14ac:dyDescent="0.3">
      <c r="A18" s="1"/>
      <c r="B18" s="14">
        <v>17104002</v>
      </c>
      <c r="C18" s="14" t="s">
        <v>54</v>
      </c>
      <c r="D18" s="15">
        <v>35158</v>
      </c>
      <c r="E18" s="14" t="s">
        <v>7</v>
      </c>
      <c r="F18" s="16">
        <v>17</v>
      </c>
      <c r="G18" s="16">
        <v>4002</v>
      </c>
    </row>
    <row r="19" spans="1:7" hidden="1" x14ac:dyDescent="0.3">
      <c r="A19" s="1"/>
      <c r="B19" s="14">
        <v>18105042</v>
      </c>
      <c r="C19" s="14" t="s">
        <v>56</v>
      </c>
      <c r="D19" s="15">
        <v>35975</v>
      </c>
      <c r="E19" s="14" t="s">
        <v>89</v>
      </c>
      <c r="F19" s="16">
        <v>18</v>
      </c>
      <c r="G19" s="16">
        <v>5042</v>
      </c>
    </row>
    <row r="20" spans="1:7" hidden="1" x14ac:dyDescent="0.3">
      <c r="A20" s="1"/>
      <c r="B20" s="14">
        <v>19106088</v>
      </c>
      <c r="C20" s="14" t="s">
        <v>58</v>
      </c>
      <c r="D20" s="15">
        <v>35991</v>
      </c>
      <c r="E20" s="14" t="s">
        <v>91</v>
      </c>
      <c r="F20" s="16">
        <v>19</v>
      </c>
      <c r="G20" s="16">
        <v>6088</v>
      </c>
    </row>
    <row r="21" spans="1:7" x14ac:dyDescent="0.3">
      <c r="A21" s="1"/>
      <c r="B21" s="14">
        <v>20101045</v>
      </c>
      <c r="C21" s="14" t="s">
        <v>60</v>
      </c>
      <c r="D21" s="15">
        <v>37090</v>
      </c>
      <c r="E21" s="14" t="s">
        <v>82</v>
      </c>
      <c r="F21" s="16">
        <v>20</v>
      </c>
      <c r="G21" s="16">
        <v>1045</v>
      </c>
    </row>
    <row r="22" spans="1:7" hidden="1" x14ac:dyDescent="0.3">
      <c r="A22" s="1"/>
      <c r="B22" s="14">
        <v>19102036</v>
      </c>
      <c r="C22" s="14" t="s">
        <v>62</v>
      </c>
      <c r="D22" s="15">
        <v>35722</v>
      </c>
      <c r="E22" s="14" t="s">
        <v>84</v>
      </c>
      <c r="F22" s="16">
        <v>19</v>
      </c>
      <c r="G22" s="16">
        <v>2036</v>
      </c>
    </row>
    <row r="23" spans="1:7" x14ac:dyDescent="0.3">
      <c r="A23" s="1"/>
      <c r="B23" s="14">
        <v>20103099</v>
      </c>
      <c r="C23" s="14" t="s">
        <v>64</v>
      </c>
      <c r="D23" s="15">
        <v>37292</v>
      </c>
      <c r="E23" s="14" t="s">
        <v>86</v>
      </c>
      <c r="F23" s="16">
        <v>20</v>
      </c>
      <c r="G23" s="16">
        <v>3099</v>
      </c>
    </row>
    <row r="24" spans="1:7" hidden="1" x14ac:dyDescent="0.3">
      <c r="A24" s="1"/>
      <c r="B24" s="14">
        <v>17104029</v>
      </c>
      <c r="C24" s="14" t="s">
        <v>66</v>
      </c>
      <c r="D24" s="15">
        <v>36078</v>
      </c>
      <c r="E24" s="14" t="s">
        <v>7</v>
      </c>
      <c r="F24" s="16">
        <v>17</v>
      </c>
      <c r="G24" s="16">
        <v>4029</v>
      </c>
    </row>
    <row r="25" spans="1:7" hidden="1" x14ac:dyDescent="0.3">
      <c r="A25" s="1"/>
      <c r="B25" s="14">
        <v>18105045</v>
      </c>
      <c r="C25" s="14" t="s">
        <v>68</v>
      </c>
      <c r="D25" s="15">
        <v>35996</v>
      </c>
      <c r="E25" s="14" t="s">
        <v>89</v>
      </c>
      <c r="F25" s="16">
        <v>18</v>
      </c>
      <c r="G25" s="16">
        <v>5045</v>
      </c>
    </row>
    <row r="26" spans="1:7" hidden="1" x14ac:dyDescent="0.3">
      <c r="A26" s="1"/>
      <c r="B26" s="14">
        <v>19106111</v>
      </c>
      <c r="C26" s="14" t="s">
        <v>70</v>
      </c>
      <c r="D26" s="15">
        <v>36063</v>
      </c>
      <c r="E26" s="14" t="s">
        <v>91</v>
      </c>
      <c r="F26" s="16">
        <v>19</v>
      </c>
      <c r="G26" s="16">
        <v>6111</v>
      </c>
    </row>
    <row r="27" spans="1:7" x14ac:dyDescent="0.3">
      <c r="A27" s="1"/>
      <c r="B27" s="14">
        <v>20101241</v>
      </c>
      <c r="C27" s="14" t="s">
        <v>72</v>
      </c>
      <c r="D27" s="15">
        <v>36190</v>
      </c>
      <c r="E27" s="14" t="s">
        <v>82</v>
      </c>
      <c r="F27" s="16">
        <v>20</v>
      </c>
      <c r="G27" s="16">
        <v>1241</v>
      </c>
    </row>
    <row r="28" spans="1:7" hidden="1" x14ac:dyDescent="0.3">
      <c r="A28" s="1"/>
      <c r="B28" s="14">
        <v>19102332</v>
      </c>
      <c r="C28" s="14" t="s">
        <v>74</v>
      </c>
      <c r="D28" s="15">
        <v>34475</v>
      </c>
      <c r="E28" s="14" t="s">
        <v>84</v>
      </c>
      <c r="F28" s="16">
        <v>19</v>
      </c>
      <c r="G28" s="16">
        <v>2332</v>
      </c>
    </row>
    <row r="29" spans="1:7" x14ac:dyDescent="0.3">
      <c r="A29" s="1"/>
      <c r="B29" s="14">
        <v>20103411</v>
      </c>
      <c r="C29" s="14" t="s">
        <v>75</v>
      </c>
      <c r="D29" s="15">
        <v>36991</v>
      </c>
      <c r="E29" s="14" t="s">
        <v>86</v>
      </c>
      <c r="F29" s="16">
        <v>20</v>
      </c>
      <c r="G29" s="16">
        <v>3411</v>
      </c>
    </row>
    <row r="30" spans="1:7" hidden="1" x14ac:dyDescent="0.3">
      <c r="A30" s="1"/>
      <c r="B30" s="14">
        <v>17104632</v>
      </c>
      <c r="C30" s="14" t="s">
        <v>76</v>
      </c>
      <c r="D30" s="15">
        <v>36046</v>
      </c>
      <c r="E30" s="14" t="s">
        <v>7</v>
      </c>
      <c r="F30" s="16">
        <v>17</v>
      </c>
      <c r="G30" s="16">
        <v>4632</v>
      </c>
    </row>
    <row r="31" spans="1:7" hidden="1" x14ac:dyDescent="0.3">
      <c r="A31" s="1"/>
      <c r="B31" s="14">
        <v>18105241</v>
      </c>
      <c r="C31" s="14" t="s">
        <v>77</v>
      </c>
      <c r="D31" s="15">
        <v>36005</v>
      </c>
      <c r="E31" s="14" t="s">
        <v>89</v>
      </c>
      <c r="F31" s="16">
        <v>18</v>
      </c>
      <c r="G31" s="16">
        <v>5241</v>
      </c>
    </row>
    <row r="32" spans="1:7" hidden="1" x14ac:dyDescent="0.3">
      <c r="A32" s="1"/>
      <c r="B32" s="14">
        <v>19106123</v>
      </c>
      <c r="C32" s="14" t="s">
        <v>78</v>
      </c>
      <c r="D32" s="15">
        <v>35880</v>
      </c>
      <c r="E32" s="14" t="s">
        <v>91</v>
      </c>
      <c r="F32" s="16">
        <v>19</v>
      </c>
      <c r="G32" s="16">
        <v>6123</v>
      </c>
    </row>
  </sheetData>
  <autoFilter ref="B2:G32" xr:uid="{00000000-0009-0000-0000-000004000000}">
    <filterColumn colId="4">
      <colorFilter dxfId="4" cellColor="0"/>
    </filterColumn>
  </autoFilter>
  <phoneticPr fontId="1" type="noConversion"/>
  <conditionalFormatting sqref="F3:F32">
    <cfRule type="cellIs" dxfId="1" priority="1" operator="equal">
      <formula>20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G13"/>
  <sheetViews>
    <sheetView topLeftCell="A7" workbookViewId="0">
      <selection activeCell="M30" sqref="M30"/>
    </sheetView>
  </sheetViews>
  <sheetFormatPr defaultRowHeight="16.5" x14ac:dyDescent="0.3"/>
  <cols>
    <col min="1" max="1" width="4.5" customWidth="1"/>
    <col min="4" max="4" width="13" customWidth="1"/>
  </cols>
  <sheetData>
    <row r="2" spans="2:7" x14ac:dyDescent="0.3">
      <c r="B2" s="26" t="s">
        <v>1</v>
      </c>
      <c r="C2" s="26" t="s">
        <v>2</v>
      </c>
      <c r="D2" s="26" t="s">
        <v>102</v>
      </c>
      <c r="E2" s="26" t="s">
        <v>103</v>
      </c>
      <c r="F2" s="26" t="s">
        <v>104</v>
      </c>
      <c r="G2" s="26" t="s">
        <v>105</v>
      </c>
    </row>
    <row r="3" spans="2:7" x14ac:dyDescent="0.3">
      <c r="B3" s="25">
        <v>17101001</v>
      </c>
      <c r="C3" s="25" t="s">
        <v>24</v>
      </c>
      <c r="D3" s="25" t="s">
        <v>82</v>
      </c>
      <c r="E3" s="25">
        <v>94</v>
      </c>
      <c r="F3" s="25">
        <v>72</v>
      </c>
      <c r="G3" s="25">
        <v>66</v>
      </c>
    </row>
    <row r="4" spans="2:7" x14ac:dyDescent="0.3">
      <c r="B4" s="25">
        <v>18102030</v>
      </c>
      <c r="C4" s="25" t="s">
        <v>26</v>
      </c>
      <c r="D4" s="25" t="s">
        <v>84</v>
      </c>
      <c r="E4" s="25">
        <v>100</v>
      </c>
      <c r="F4" s="25">
        <v>74</v>
      </c>
      <c r="G4" s="25">
        <v>67</v>
      </c>
    </row>
    <row r="5" spans="2:7" x14ac:dyDescent="0.3">
      <c r="B5" s="25">
        <v>19103022</v>
      </c>
      <c r="C5" s="25" t="s">
        <v>28</v>
      </c>
      <c r="D5" s="25" t="s">
        <v>86</v>
      </c>
      <c r="E5" s="25">
        <v>64</v>
      </c>
      <c r="F5" s="25">
        <v>100</v>
      </c>
      <c r="G5" s="25">
        <v>84</v>
      </c>
    </row>
    <row r="6" spans="2:7" x14ac:dyDescent="0.3">
      <c r="B6" s="25">
        <v>17104020</v>
      </c>
      <c r="C6" s="25" t="s">
        <v>30</v>
      </c>
      <c r="D6" s="25" t="s">
        <v>7</v>
      </c>
      <c r="E6" s="25">
        <v>89</v>
      </c>
      <c r="F6" s="25">
        <v>99</v>
      </c>
      <c r="G6" s="25">
        <v>92</v>
      </c>
    </row>
    <row r="7" spans="2:7" x14ac:dyDescent="0.3">
      <c r="B7" s="25">
        <v>18105035</v>
      </c>
      <c r="C7" s="25" t="s">
        <v>32</v>
      </c>
      <c r="D7" s="25" t="s">
        <v>89</v>
      </c>
      <c r="E7" s="25">
        <v>63</v>
      </c>
      <c r="F7" s="25">
        <v>83</v>
      </c>
      <c r="G7" s="25">
        <v>69</v>
      </c>
    </row>
    <row r="8" spans="2:7" x14ac:dyDescent="0.3">
      <c r="B8" s="25">
        <v>19106081</v>
      </c>
      <c r="C8" s="25" t="s">
        <v>34</v>
      </c>
      <c r="D8" s="25" t="s">
        <v>91</v>
      </c>
      <c r="E8" s="25">
        <v>94</v>
      </c>
      <c r="F8" s="25">
        <v>98</v>
      </c>
      <c r="G8" s="25">
        <v>89</v>
      </c>
    </row>
    <row r="9" spans="2:7" x14ac:dyDescent="0.3">
      <c r="B9" s="25">
        <v>20101042</v>
      </c>
      <c r="C9" s="25" t="s">
        <v>36</v>
      </c>
      <c r="D9" s="25" t="s">
        <v>82</v>
      </c>
      <c r="E9" s="25">
        <v>89</v>
      </c>
      <c r="F9" s="25">
        <v>82</v>
      </c>
      <c r="G9" s="25">
        <v>98</v>
      </c>
    </row>
    <row r="10" spans="2:7" x14ac:dyDescent="0.3">
      <c r="B10" s="25">
        <v>19102033</v>
      </c>
      <c r="C10" s="25" t="s">
        <v>38</v>
      </c>
      <c r="D10" s="25" t="s">
        <v>84</v>
      </c>
      <c r="E10" s="25">
        <v>98</v>
      </c>
      <c r="F10" s="25">
        <v>82</v>
      </c>
      <c r="G10" s="25">
        <v>66</v>
      </c>
    </row>
    <row r="11" spans="2:7" x14ac:dyDescent="0.3">
      <c r="B11" s="25">
        <v>20103082</v>
      </c>
      <c r="C11" s="25" t="s">
        <v>40</v>
      </c>
      <c r="D11" s="25" t="s">
        <v>86</v>
      </c>
      <c r="E11" s="25">
        <v>70</v>
      </c>
      <c r="F11" s="25">
        <v>62</v>
      </c>
      <c r="G11" s="25">
        <v>90</v>
      </c>
    </row>
    <row r="12" spans="2:7" x14ac:dyDescent="0.3">
      <c r="B12" s="25">
        <v>17104082</v>
      </c>
      <c r="C12" s="25" t="s">
        <v>42</v>
      </c>
      <c r="D12" s="25" t="s">
        <v>7</v>
      </c>
      <c r="E12" s="25">
        <v>99</v>
      </c>
      <c r="F12" s="25">
        <v>87</v>
      </c>
      <c r="G12" s="25">
        <v>80</v>
      </c>
    </row>
    <row r="13" spans="2:7" x14ac:dyDescent="0.3">
      <c r="B13" s="25">
        <v>18105011</v>
      </c>
      <c r="C13" s="25" t="s">
        <v>44</v>
      </c>
      <c r="D13" s="25" t="s">
        <v>89</v>
      </c>
      <c r="E13" s="25">
        <v>94</v>
      </c>
      <c r="F13" s="25">
        <v>93</v>
      </c>
      <c r="G13" s="25">
        <v>73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32"/>
  <sheetViews>
    <sheetView workbookViewId="0">
      <selection activeCell="L15" sqref="L15"/>
    </sheetView>
  </sheetViews>
  <sheetFormatPr defaultRowHeight="16.5" x14ac:dyDescent="0.3"/>
  <cols>
    <col min="1" max="1" width="2" customWidth="1"/>
    <col min="2" max="2" width="11.375" customWidth="1"/>
    <col min="3" max="3" width="10.375" customWidth="1"/>
    <col min="4" max="4" width="13.125" customWidth="1"/>
    <col min="5" max="5" width="14.375" customWidth="1"/>
    <col min="6" max="6" width="12.25" customWidth="1"/>
  </cols>
  <sheetData>
    <row r="1" spans="1:10" x14ac:dyDescent="0.3">
      <c r="A1" s="1"/>
      <c r="B1" s="1" t="s">
        <v>0</v>
      </c>
      <c r="C1" s="1"/>
      <c r="D1" s="1"/>
      <c r="E1" s="1"/>
      <c r="F1" s="1"/>
      <c r="G1" s="1"/>
      <c r="H1" s="1"/>
      <c r="I1" s="1"/>
      <c r="J1" s="2"/>
    </row>
    <row r="2" spans="1:10" x14ac:dyDescent="0.3">
      <c r="A2" s="1"/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  <c r="G2" s="17" t="s">
        <v>93</v>
      </c>
      <c r="H2" s="17" t="s">
        <v>94</v>
      </c>
      <c r="I2" s="17" t="s">
        <v>95</v>
      </c>
      <c r="J2" s="17" t="s">
        <v>6</v>
      </c>
    </row>
    <row r="3" spans="1:10" x14ac:dyDescent="0.3">
      <c r="A3" s="1"/>
      <c r="B3" s="14">
        <v>17101001</v>
      </c>
      <c r="C3" s="14" t="s">
        <v>24</v>
      </c>
      <c r="D3" s="15">
        <v>35671</v>
      </c>
      <c r="E3" s="14" t="s">
        <v>82</v>
      </c>
      <c r="F3" s="16" t="s">
        <v>83</v>
      </c>
      <c r="G3" s="32">
        <v>94</v>
      </c>
      <c r="H3" s="16">
        <v>72</v>
      </c>
      <c r="I3" s="16">
        <v>66</v>
      </c>
      <c r="J3" s="16" t="s">
        <v>9</v>
      </c>
    </row>
    <row r="4" spans="1:10" x14ac:dyDescent="0.3">
      <c r="A4" s="1"/>
      <c r="B4" s="14">
        <v>18102030</v>
      </c>
      <c r="C4" s="14" t="s">
        <v>26</v>
      </c>
      <c r="D4" s="15">
        <v>35968</v>
      </c>
      <c r="E4" s="14" t="s">
        <v>84</v>
      </c>
      <c r="F4" s="16" t="s">
        <v>85</v>
      </c>
      <c r="G4" s="32">
        <v>100</v>
      </c>
      <c r="H4" s="16">
        <v>74</v>
      </c>
      <c r="I4" s="16">
        <v>67</v>
      </c>
      <c r="J4" s="16" t="s">
        <v>8</v>
      </c>
    </row>
    <row r="5" spans="1:10" x14ac:dyDescent="0.3">
      <c r="A5" s="1"/>
      <c r="B5" s="14">
        <v>19103022</v>
      </c>
      <c r="C5" s="14" t="s">
        <v>28</v>
      </c>
      <c r="D5" s="15">
        <v>36284</v>
      </c>
      <c r="E5" s="14" t="s">
        <v>86</v>
      </c>
      <c r="F5" s="16" t="s">
        <v>87</v>
      </c>
      <c r="G5" s="32">
        <v>64</v>
      </c>
      <c r="H5" s="16">
        <v>100</v>
      </c>
      <c r="I5" s="16">
        <v>84</v>
      </c>
      <c r="J5" s="16" t="s">
        <v>8</v>
      </c>
    </row>
    <row r="6" spans="1:10" x14ac:dyDescent="0.3">
      <c r="A6" s="1"/>
      <c r="B6" s="14">
        <v>17104020</v>
      </c>
      <c r="C6" s="14" t="s">
        <v>30</v>
      </c>
      <c r="D6" s="15">
        <v>35038</v>
      </c>
      <c r="E6" s="14" t="s">
        <v>7</v>
      </c>
      <c r="F6" s="16" t="s">
        <v>88</v>
      </c>
      <c r="G6" s="32">
        <v>89</v>
      </c>
      <c r="H6" s="16">
        <v>99</v>
      </c>
      <c r="I6" s="16">
        <v>92</v>
      </c>
      <c r="J6" s="16" t="s">
        <v>10</v>
      </c>
    </row>
    <row r="7" spans="1:10" x14ac:dyDescent="0.3">
      <c r="A7" s="1"/>
      <c r="B7" s="14">
        <v>18105035</v>
      </c>
      <c r="C7" s="14" t="s">
        <v>32</v>
      </c>
      <c r="D7" s="15">
        <v>35464</v>
      </c>
      <c r="E7" s="14" t="s">
        <v>89</v>
      </c>
      <c r="F7" s="16" t="s">
        <v>90</v>
      </c>
      <c r="G7" s="32">
        <v>63</v>
      </c>
      <c r="H7" s="16">
        <v>83</v>
      </c>
      <c r="I7" s="16">
        <v>69</v>
      </c>
      <c r="J7" s="16" t="s">
        <v>9</v>
      </c>
    </row>
    <row r="8" spans="1:10" x14ac:dyDescent="0.3">
      <c r="A8" s="1"/>
      <c r="B8" s="14">
        <v>19106081</v>
      </c>
      <c r="C8" s="14" t="s">
        <v>34</v>
      </c>
      <c r="D8" s="15">
        <v>35917</v>
      </c>
      <c r="E8" s="14" t="s">
        <v>91</v>
      </c>
      <c r="F8" s="16" t="s">
        <v>92</v>
      </c>
      <c r="G8" s="32">
        <v>94</v>
      </c>
      <c r="H8" s="16">
        <v>98</v>
      </c>
      <c r="I8" s="16">
        <v>89</v>
      </c>
      <c r="J8" s="16" t="s">
        <v>10</v>
      </c>
    </row>
    <row r="9" spans="1:10" x14ac:dyDescent="0.3">
      <c r="A9" s="1"/>
      <c r="B9" s="14">
        <v>20101042</v>
      </c>
      <c r="C9" s="14" t="s">
        <v>36</v>
      </c>
      <c r="D9" s="15">
        <v>36744</v>
      </c>
      <c r="E9" s="14" t="s">
        <v>82</v>
      </c>
      <c r="F9" s="16" t="s">
        <v>83</v>
      </c>
      <c r="G9" s="32">
        <v>89</v>
      </c>
      <c r="H9" s="16">
        <v>82</v>
      </c>
      <c r="I9" s="16">
        <v>98</v>
      </c>
      <c r="J9" s="16" t="s">
        <v>8</v>
      </c>
    </row>
    <row r="10" spans="1:10" x14ac:dyDescent="0.3">
      <c r="A10" s="1"/>
      <c r="B10" s="14">
        <v>19102033</v>
      </c>
      <c r="C10" s="14" t="s">
        <v>38</v>
      </c>
      <c r="D10" s="15">
        <v>35315</v>
      </c>
      <c r="E10" s="14" t="s">
        <v>84</v>
      </c>
      <c r="F10" s="16" t="s">
        <v>85</v>
      </c>
      <c r="G10" s="32">
        <v>98</v>
      </c>
      <c r="H10" s="16">
        <v>82</v>
      </c>
      <c r="I10" s="16">
        <v>66</v>
      </c>
      <c r="J10" s="16" t="s">
        <v>8</v>
      </c>
    </row>
    <row r="11" spans="1:10" x14ac:dyDescent="0.3">
      <c r="A11" s="1"/>
      <c r="B11" s="14">
        <v>20103082</v>
      </c>
      <c r="C11" s="14" t="s">
        <v>40</v>
      </c>
      <c r="D11" s="15">
        <v>36984</v>
      </c>
      <c r="E11" s="14" t="s">
        <v>86</v>
      </c>
      <c r="F11" s="16" t="s">
        <v>87</v>
      </c>
      <c r="G11" s="32">
        <v>70</v>
      </c>
      <c r="H11" s="16">
        <v>62</v>
      </c>
      <c r="I11" s="16">
        <v>90</v>
      </c>
      <c r="J11" s="16" t="s">
        <v>9</v>
      </c>
    </row>
    <row r="12" spans="1:10" x14ac:dyDescent="0.3">
      <c r="A12" s="1"/>
      <c r="B12" s="14">
        <v>17104082</v>
      </c>
      <c r="C12" s="14" t="s">
        <v>42</v>
      </c>
      <c r="D12" s="15">
        <v>36144</v>
      </c>
      <c r="E12" s="14" t="s">
        <v>7</v>
      </c>
      <c r="F12" s="16" t="s">
        <v>88</v>
      </c>
      <c r="G12" s="32">
        <v>99</v>
      </c>
      <c r="H12" s="16">
        <v>87</v>
      </c>
      <c r="I12" s="16">
        <v>80</v>
      </c>
      <c r="J12" s="16" t="s">
        <v>8</v>
      </c>
    </row>
    <row r="13" spans="1:10" x14ac:dyDescent="0.3">
      <c r="A13" s="1"/>
      <c r="B13" s="14">
        <v>18105011</v>
      </c>
      <c r="C13" s="14" t="s">
        <v>44</v>
      </c>
      <c r="D13" s="15">
        <v>35977</v>
      </c>
      <c r="E13" s="14" t="s">
        <v>89</v>
      </c>
      <c r="F13" s="16" t="s">
        <v>90</v>
      </c>
      <c r="G13" s="32">
        <v>94</v>
      </c>
      <c r="H13" s="16">
        <v>93</v>
      </c>
      <c r="I13" s="16">
        <v>73</v>
      </c>
      <c r="J13" s="16" t="s">
        <v>8</v>
      </c>
    </row>
    <row r="14" spans="1:10" x14ac:dyDescent="0.3">
      <c r="A14" s="1"/>
      <c r="B14" s="14">
        <v>19106014</v>
      </c>
      <c r="C14" s="14" t="s">
        <v>46</v>
      </c>
      <c r="D14" s="15">
        <v>35742</v>
      </c>
      <c r="E14" s="14" t="s">
        <v>91</v>
      </c>
      <c r="F14" s="16" t="s">
        <v>92</v>
      </c>
      <c r="G14" s="32">
        <v>70</v>
      </c>
      <c r="H14" s="16">
        <v>70</v>
      </c>
      <c r="I14" s="16">
        <v>96</v>
      </c>
      <c r="J14" s="16" t="s">
        <v>9</v>
      </c>
    </row>
    <row r="15" spans="1:10" x14ac:dyDescent="0.3">
      <c r="A15" s="1"/>
      <c r="B15" s="14">
        <v>17101092</v>
      </c>
      <c r="C15" s="14" t="s">
        <v>48</v>
      </c>
      <c r="D15" s="15">
        <v>35539</v>
      </c>
      <c r="E15" s="14" t="s">
        <v>82</v>
      </c>
      <c r="F15" s="16" t="s">
        <v>83</v>
      </c>
      <c r="G15" s="32">
        <v>88</v>
      </c>
      <c r="H15" s="16">
        <v>100</v>
      </c>
      <c r="I15" s="16">
        <v>70</v>
      </c>
      <c r="J15" s="16" t="s">
        <v>8</v>
      </c>
    </row>
    <row r="16" spans="1:10" x14ac:dyDescent="0.3">
      <c r="A16" s="1"/>
      <c r="B16" s="14">
        <v>18102031</v>
      </c>
      <c r="C16" s="14" t="s">
        <v>50</v>
      </c>
      <c r="D16" s="15">
        <v>35920</v>
      </c>
      <c r="E16" s="14" t="s">
        <v>84</v>
      </c>
      <c r="F16" s="16" t="s">
        <v>85</v>
      </c>
      <c r="G16" s="32">
        <v>84</v>
      </c>
      <c r="H16" s="16">
        <v>73</v>
      </c>
      <c r="I16" s="16">
        <v>95</v>
      </c>
      <c r="J16" s="16" t="s">
        <v>8</v>
      </c>
    </row>
    <row r="17" spans="1:10" x14ac:dyDescent="0.3">
      <c r="A17" s="1"/>
      <c r="B17" s="14">
        <v>19103011</v>
      </c>
      <c r="C17" s="14" t="s">
        <v>52</v>
      </c>
      <c r="D17" s="15">
        <v>35907</v>
      </c>
      <c r="E17" s="14" t="s">
        <v>86</v>
      </c>
      <c r="F17" s="16" t="s">
        <v>87</v>
      </c>
      <c r="G17" s="32">
        <v>80</v>
      </c>
      <c r="H17" s="16">
        <v>77</v>
      </c>
      <c r="I17" s="16">
        <v>100</v>
      </c>
      <c r="J17" s="16" t="s">
        <v>8</v>
      </c>
    </row>
    <row r="18" spans="1:10" x14ac:dyDescent="0.3">
      <c r="A18" s="1"/>
      <c r="B18" s="14">
        <v>17104002</v>
      </c>
      <c r="C18" s="14" t="s">
        <v>54</v>
      </c>
      <c r="D18" s="15">
        <v>35158</v>
      </c>
      <c r="E18" s="14" t="s">
        <v>7</v>
      </c>
      <c r="F18" s="16" t="s">
        <v>88</v>
      </c>
      <c r="G18" s="32">
        <v>74</v>
      </c>
      <c r="H18" s="16">
        <v>93</v>
      </c>
      <c r="I18" s="16">
        <v>95</v>
      </c>
      <c r="J18" s="16" t="s">
        <v>8</v>
      </c>
    </row>
    <row r="19" spans="1:10" x14ac:dyDescent="0.3">
      <c r="A19" s="1"/>
      <c r="B19" s="14">
        <v>18105042</v>
      </c>
      <c r="C19" s="14" t="s">
        <v>56</v>
      </c>
      <c r="D19" s="15">
        <v>35975</v>
      </c>
      <c r="E19" s="14" t="s">
        <v>89</v>
      </c>
      <c r="F19" s="16" t="s">
        <v>90</v>
      </c>
      <c r="G19" s="32">
        <v>89</v>
      </c>
      <c r="H19" s="16">
        <v>69</v>
      </c>
      <c r="I19" s="16">
        <v>76</v>
      </c>
      <c r="J19" s="16" t="s">
        <v>9</v>
      </c>
    </row>
    <row r="20" spans="1:10" x14ac:dyDescent="0.3">
      <c r="A20" s="1"/>
      <c r="B20" s="14">
        <v>19106088</v>
      </c>
      <c r="C20" s="14" t="s">
        <v>58</v>
      </c>
      <c r="D20" s="15">
        <v>35991</v>
      </c>
      <c r="E20" s="14" t="s">
        <v>91</v>
      </c>
      <c r="F20" s="16" t="s">
        <v>92</v>
      </c>
      <c r="G20" s="32">
        <v>99</v>
      </c>
      <c r="H20" s="16">
        <v>63</v>
      </c>
      <c r="I20" s="16">
        <v>99</v>
      </c>
      <c r="J20" s="16" t="s">
        <v>8</v>
      </c>
    </row>
    <row r="21" spans="1:10" x14ac:dyDescent="0.3">
      <c r="A21" s="1"/>
      <c r="B21" s="14">
        <v>20101045</v>
      </c>
      <c r="C21" s="14" t="s">
        <v>60</v>
      </c>
      <c r="D21" s="15">
        <v>37090</v>
      </c>
      <c r="E21" s="14" t="s">
        <v>82</v>
      </c>
      <c r="F21" s="16" t="s">
        <v>83</v>
      </c>
      <c r="G21" s="32">
        <v>68</v>
      </c>
      <c r="H21" s="16">
        <v>84</v>
      </c>
      <c r="I21" s="16">
        <v>91</v>
      </c>
      <c r="J21" s="16" t="s">
        <v>8</v>
      </c>
    </row>
    <row r="22" spans="1:10" x14ac:dyDescent="0.3">
      <c r="A22" s="1"/>
      <c r="B22" s="14">
        <v>19102036</v>
      </c>
      <c r="C22" s="14" t="s">
        <v>62</v>
      </c>
      <c r="D22" s="15">
        <v>35722</v>
      </c>
      <c r="E22" s="14" t="s">
        <v>84</v>
      </c>
      <c r="F22" s="16" t="s">
        <v>85</v>
      </c>
      <c r="G22" s="32">
        <v>80</v>
      </c>
      <c r="H22" s="16">
        <v>79</v>
      </c>
      <c r="I22" s="16">
        <v>99</v>
      </c>
      <c r="J22" s="16" t="s">
        <v>8</v>
      </c>
    </row>
    <row r="23" spans="1:10" x14ac:dyDescent="0.3">
      <c r="A23" s="1"/>
      <c r="B23" s="14">
        <v>20103099</v>
      </c>
      <c r="C23" s="14" t="s">
        <v>64</v>
      </c>
      <c r="D23" s="15">
        <v>37292</v>
      </c>
      <c r="E23" s="14" t="s">
        <v>86</v>
      </c>
      <c r="F23" s="16" t="s">
        <v>87</v>
      </c>
      <c r="G23" s="32">
        <v>74</v>
      </c>
      <c r="H23" s="16">
        <v>97</v>
      </c>
      <c r="I23" s="16">
        <v>94</v>
      </c>
      <c r="J23" s="16" t="s">
        <v>8</v>
      </c>
    </row>
    <row r="24" spans="1:10" x14ac:dyDescent="0.3">
      <c r="A24" s="1"/>
      <c r="B24" s="14">
        <v>17104029</v>
      </c>
      <c r="C24" s="14" t="s">
        <v>66</v>
      </c>
      <c r="D24" s="15">
        <v>36078</v>
      </c>
      <c r="E24" s="14" t="s">
        <v>7</v>
      </c>
      <c r="F24" s="16" t="s">
        <v>88</v>
      </c>
      <c r="G24" s="32">
        <v>96</v>
      </c>
      <c r="H24" s="16">
        <v>87</v>
      </c>
      <c r="I24" s="16">
        <v>64</v>
      </c>
      <c r="J24" s="16" t="s">
        <v>8</v>
      </c>
    </row>
    <row r="25" spans="1:10" x14ac:dyDescent="0.3">
      <c r="A25" s="1"/>
      <c r="B25" s="14">
        <v>18105045</v>
      </c>
      <c r="C25" s="14" t="s">
        <v>68</v>
      </c>
      <c r="D25" s="15">
        <v>35996</v>
      </c>
      <c r="E25" s="14" t="s">
        <v>89</v>
      </c>
      <c r="F25" s="16" t="s">
        <v>90</v>
      </c>
      <c r="G25" s="32">
        <v>71</v>
      </c>
      <c r="H25" s="16">
        <v>78</v>
      </c>
      <c r="I25" s="16">
        <v>64</v>
      </c>
      <c r="J25" s="16" t="s">
        <v>9</v>
      </c>
    </row>
    <row r="26" spans="1:10" x14ac:dyDescent="0.3">
      <c r="A26" s="1"/>
      <c r="B26" s="14">
        <v>19106111</v>
      </c>
      <c r="C26" s="14" t="s">
        <v>70</v>
      </c>
      <c r="D26" s="15">
        <v>36063</v>
      </c>
      <c r="E26" s="14" t="s">
        <v>91</v>
      </c>
      <c r="F26" s="16" t="s">
        <v>92</v>
      </c>
      <c r="G26" s="32">
        <v>94</v>
      </c>
      <c r="H26" s="16">
        <v>66</v>
      </c>
      <c r="I26" s="16">
        <v>72</v>
      </c>
      <c r="J26" s="16" t="s">
        <v>9</v>
      </c>
    </row>
    <row r="27" spans="1:10" x14ac:dyDescent="0.3">
      <c r="A27" s="1"/>
      <c r="B27" s="14">
        <v>20101241</v>
      </c>
      <c r="C27" s="14" t="s">
        <v>72</v>
      </c>
      <c r="D27" s="15">
        <v>36190</v>
      </c>
      <c r="E27" s="14" t="s">
        <v>82</v>
      </c>
      <c r="F27" s="16" t="s">
        <v>83</v>
      </c>
      <c r="G27" s="32">
        <v>62</v>
      </c>
      <c r="H27" s="16">
        <v>88</v>
      </c>
      <c r="I27" s="16">
        <v>98</v>
      </c>
      <c r="J27" s="16" t="s">
        <v>8</v>
      </c>
    </row>
    <row r="28" spans="1:10" x14ac:dyDescent="0.3">
      <c r="A28" s="1"/>
      <c r="B28" s="14">
        <v>19102332</v>
      </c>
      <c r="C28" s="14" t="s">
        <v>74</v>
      </c>
      <c r="D28" s="15">
        <v>34475</v>
      </c>
      <c r="E28" s="14" t="s">
        <v>84</v>
      </c>
      <c r="F28" s="16" t="s">
        <v>85</v>
      </c>
      <c r="G28" s="32">
        <v>93</v>
      </c>
      <c r="H28" s="16">
        <v>89</v>
      </c>
      <c r="I28" s="16">
        <v>99</v>
      </c>
      <c r="J28" s="16" t="s">
        <v>10</v>
      </c>
    </row>
    <row r="29" spans="1:10" x14ac:dyDescent="0.3">
      <c r="A29" s="1"/>
      <c r="B29" s="14">
        <v>20103411</v>
      </c>
      <c r="C29" s="14" t="s">
        <v>75</v>
      </c>
      <c r="D29" s="15">
        <v>36991</v>
      </c>
      <c r="E29" s="14" t="s">
        <v>86</v>
      </c>
      <c r="F29" s="16" t="s">
        <v>87</v>
      </c>
      <c r="G29" s="32">
        <v>89</v>
      </c>
      <c r="H29" s="16">
        <v>93</v>
      </c>
      <c r="I29" s="16">
        <v>63</v>
      </c>
      <c r="J29" s="16" t="s">
        <v>8</v>
      </c>
    </row>
    <row r="30" spans="1:10" x14ac:dyDescent="0.3">
      <c r="A30" s="1"/>
      <c r="B30" s="14">
        <v>17104632</v>
      </c>
      <c r="C30" s="14" t="s">
        <v>76</v>
      </c>
      <c r="D30" s="15">
        <v>36046</v>
      </c>
      <c r="E30" s="14" t="s">
        <v>7</v>
      </c>
      <c r="F30" s="16" t="s">
        <v>88</v>
      </c>
      <c r="G30" s="32">
        <v>84</v>
      </c>
      <c r="H30" s="16">
        <v>62</v>
      </c>
      <c r="I30" s="16">
        <v>89</v>
      </c>
      <c r="J30" s="16" t="s">
        <v>9</v>
      </c>
    </row>
    <row r="31" spans="1:10" x14ac:dyDescent="0.3">
      <c r="A31" s="1"/>
      <c r="B31" s="14">
        <v>18105241</v>
      </c>
      <c r="C31" s="14" t="s">
        <v>77</v>
      </c>
      <c r="D31" s="15">
        <v>36005</v>
      </c>
      <c r="E31" s="14" t="s">
        <v>89</v>
      </c>
      <c r="F31" s="16" t="s">
        <v>90</v>
      </c>
      <c r="G31" s="32">
        <v>74</v>
      </c>
      <c r="H31" s="16">
        <v>87</v>
      </c>
      <c r="I31" s="16">
        <v>72</v>
      </c>
      <c r="J31" s="16" t="s">
        <v>9</v>
      </c>
    </row>
    <row r="32" spans="1:10" x14ac:dyDescent="0.3">
      <c r="A32" s="1"/>
      <c r="B32" s="14">
        <v>19106123</v>
      </c>
      <c r="C32" s="14" t="s">
        <v>78</v>
      </c>
      <c r="D32" s="15">
        <v>35880</v>
      </c>
      <c r="E32" s="14" t="s">
        <v>91</v>
      </c>
      <c r="F32" s="16" t="s">
        <v>92</v>
      </c>
      <c r="G32" s="32">
        <v>82</v>
      </c>
      <c r="H32" s="16">
        <v>65</v>
      </c>
      <c r="I32" s="16">
        <v>88</v>
      </c>
      <c r="J32" s="16" t="s">
        <v>9</v>
      </c>
    </row>
  </sheetData>
  <phoneticPr fontId="1" type="noConversion"/>
  <conditionalFormatting sqref="H3:I32">
    <cfRule type="dataBar" priority="1">
      <dataBar>
        <cfvo type="percentile" val="20"/>
        <cfvo type="percentile" val="80"/>
        <color rgb="FFFFC000"/>
      </dataBar>
      <extLst>
        <ext xmlns:x14="http://schemas.microsoft.com/office/spreadsheetml/2009/9/main" uri="{B025F937-C7B1-47D3-B67F-A62EFF666E3E}">
          <x14:id>{AFA50A07-4FA4-4AFD-A605-256227C8F9C6}</x14:id>
        </ext>
      </extLst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등급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막대보기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A50A07-4FA4-4AFD-A605-256227C8F9C6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H3:I32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K36"/>
  <sheetViews>
    <sheetView workbookViewId="0">
      <selection activeCell="H6" sqref="H6"/>
    </sheetView>
  </sheetViews>
  <sheetFormatPr defaultRowHeight="16.5" x14ac:dyDescent="0.3"/>
  <cols>
    <col min="1" max="1" width="3.25" customWidth="1"/>
    <col min="4" max="4" width="14.25" customWidth="1"/>
    <col min="9" max="9" width="14.125" customWidth="1"/>
    <col min="10" max="10" width="15.875" customWidth="1"/>
    <col min="11" max="11" width="12.25" customWidth="1"/>
  </cols>
  <sheetData>
    <row r="2" spans="2:11" x14ac:dyDescent="0.3">
      <c r="B2" s="18" t="s">
        <v>2</v>
      </c>
      <c r="C2" s="18" t="s">
        <v>1</v>
      </c>
      <c r="D2" s="18" t="s">
        <v>4</v>
      </c>
      <c r="E2" s="18" t="s">
        <v>93</v>
      </c>
      <c r="F2" s="18" t="s">
        <v>94</v>
      </c>
      <c r="G2" s="18" t="s">
        <v>100</v>
      </c>
      <c r="K2" s="24" t="s">
        <v>4</v>
      </c>
    </row>
    <row r="3" spans="2:11" x14ac:dyDescent="0.3">
      <c r="B3" s="21" t="s">
        <v>109</v>
      </c>
      <c r="C3" s="21" t="s">
        <v>124</v>
      </c>
      <c r="D3" s="22" t="s">
        <v>84</v>
      </c>
      <c r="E3" s="23">
        <v>100</v>
      </c>
      <c r="F3" s="23">
        <v>90</v>
      </c>
      <c r="G3" s="23">
        <v>80</v>
      </c>
      <c r="K3" s="16" t="s">
        <v>97</v>
      </c>
    </row>
    <row r="4" spans="2:11" x14ac:dyDescent="0.3">
      <c r="B4" s="3"/>
      <c r="C4" s="3"/>
      <c r="D4" s="4"/>
      <c r="E4" s="5"/>
      <c r="F4" s="5"/>
      <c r="G4" s="5"/>
      <c r="K4" s="16" t="s">
        <v>79</v>
      </c>
    </row>
    <row r="5" spans="2:11" x14ac:dyDescent="0.3">
      <c r="B5" s="3"/>
      <c r="C5" s="3"/>
      <c r="D5" s="4"/>
      <c r="E5" s="5"/>
      <c r="F5" s="5"/>
      <c r="G5" s="5"/>
      <c r="K5" s="16" t="s">
        <v>80</v>
      </c>
    </row>
    <row r="6" spans="2:11" x14ac:dyDescent="0.3">
      <c r="B6" s="13"/>
      <c r="C6" s="13"/>
      <c r="K6" s="16" t="s">
        <v>98</v>
      </c>
    </row>
    <row r="7" spans="2:11" x14ac:dyDescent="0.3">
      <c r="B7" s="13"/>
      <c r="C7" s="13"/>
      <c r="K7" s="16" t="s">
        <v>81</v>
      </c>
    </row>
    <row r="8" spans="2:11" x14ac:dyDescent="0.3">
      <c r="B8" s="13"/>
      <c r="C8" s="13"/>
      <c r="K8" s="16" t="s">
        <v>99</v>
      </c>
    </row>
    <row r="9" spans="2:11" x14ac:dyDescent="0.3">
      <c r="B9" s="13"/>
      <c r="C9" s="13"/>
    </row>
    <row r="10" spans="2:11" x14ac:dyDescent="0.3">
      <c r="B10" s="13"/>
      <c r="C10" s="13"/>
    </row>
    <row r="11" spans="2:11" x14ac:dyDescent="0.3">
      <c r="B11" s="13"/>
      <c r="C11" s="13"/>
    </row>
    <row r="12" spans="2:11" x14ac:dyDescent="0.3">
      <c r="B12" s="13"/>
      <c r="C12" s="13"/>
    </row>
    <row r="13" spans="2:11" x14ac:dyDescent="0.3">
      <c r="B13" s="13"/>
      <c r="C13" s="13"/>
    </row>
    <row r="14" spans="2:11" x14ac:dyDescent="0.3">
      <c r="B14" s="13"/>
      <c r="C14" s="13"/>
    </row>
    <row r="15" spans="2:11" x14ac:dyDescent="0.3">
      <c r="B15" s="13"/>
      <c r="C15" s="13"/>
    </row>
    <row r="16" spans="2:11" x14ac:dyDescent="0.3">
      <c r="B16" s="13"/>
      <c r="C16" s="13"/>
    </row>
    <row r="17" spans="2:3" x14ac:dyDescent="0.3">
      <c r="B17" s="13"/>
      <c r="C17" s="13"/>
    </row>
    <row r="18" spans="2:3" x14ac:dyDescent="0.3">
      <c r="B18" s="13"/>
      <c r="C18" s="13"/>
    </row>
    <row r="19" spans="2:3" x14ac:dyDescent="0.3">
      <c r="B19" s="13"/>
      <c r="C19" s="13"/>
    </row>
    <row r="20" spans="2:3" x14ac:dyDescent="0.3">
      <c r="B20" s="13"/>
      <c r="C20" s="13"/>
    </row>
    <row r="21" spans="2:3" x14ac:dyDescent="0.3">
      <c r="B21" s="13"/>
      <c r="C21" s="13"/>
    </row>
    <row r="22" spans="2:3" x14ac:dyDescent="0.3">
      <c r="B22" s="13"/>
      <c r="C22" s="13"/>
    </row>
    <row r="23" spans="2:3" x14ac:dyDescent="0.3">
      <c r="B23" s="13"/>
      <c r="C23" s="13"/>
    </row>
    <row r="24" spans="2:3" x14ac:dyDescent="0.3">
      <c r="B24" s="13"/>
      <c r="C24" s="13"/>
    </row>
    <row r="25" spans="2:3" x14ac:dyDescent="0.3">
      <c r="B25" s="13"/>
      <c r="C25" s="13"/>
    </row>
    <row r="26" spans="2:3" x14ac:dyDescent="0.3">
      <c r="B26" s="13"/>
      <c r="C26" s="13"/>
    </row>
    <row r="27" spans="2:3" x14ac:dyDescent="0.3">
      <c r="B27" s="13"/>
      <c r="C27" s="13"/>
    </row>
    <row r="28" spans="2:3" x14ac:dyDescent="0.3">
      <c r="B28" s="13"/>
      <c r="C28" s="13"/>
    </row>
    <row r="29" spans="2:3" x14ac:dyDescent="0.3">
      <c r="B29" s="13"/>
      <c r="C29" s="13"/>
    </row>
    <row r="30" spans="2:3" x14ac:dyDescent="0.3">
      <c r="B30" s="13"/>
      <c r="C30" s="13"/>
    </row>
    <row r="31" spans="2:3" x14ac:dyDescent="0.3">
      <c r="B31" s="13"/>
      <c r="C31" s="13"/>
    </row>
    <row r="32" spans="2:3" x14ac:dyDescent="0.3">
      <c r="B32" s="13"/>
      <c r="C32" s="13"/>
    </row>
    <row r="33" spans="2:3" x14ac:dyDescent="0.3">
      <c r="B33" s="13"/>
      <c r="C33" s="13"/>
    </row>
    <row r="34" spans="2:3" x14ac:dyDescent="0.3">
      <c r="B34" s="13"/>
      <c r="C34" s="13"/>
    </row>
    <row r="35" spans="2:3" x14ac:dyDescent="0.3">
      <c r="B35" s="13"/>
      <c r="C35" s="13"/>
    </row>
    <row r="36" spans="2:3" x14ac:dyDescent="0.3">
      <c r="B36" s="13"/>
      <c r="C36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입력">
          <controlPr defaultSize="0" autoLine="0" autoPict="0" r:id="rId4">
            <anchor moveWithCells="1">
              <from>
                <xdr:col>8</xdr:col>
                <xdr:colOff>0</xdr:colOff>
                <xdr:row>0</xdr:row>
                <xdr:rowOff>161925</xdr:rowOff>
              </from>
              <to>
                <xdr:col>9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2049" r:id="rId3" name="cmd성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김진원</cp:lastModifiedBy>
  <cp:lastPrinted>2020-08-30T07:06:57Z</cp:lastPrinted>
  <dcterms:created xsi:type="dcterms:W3CDTF">2020-05-13T13:25:24Z</dcterms:created>
  <dcterms:modified xsi:type="dcterms:W3CDTF">2023-11-08T01:51:22Z</dcterms:modified>
</cp:coreProperties>
</file>