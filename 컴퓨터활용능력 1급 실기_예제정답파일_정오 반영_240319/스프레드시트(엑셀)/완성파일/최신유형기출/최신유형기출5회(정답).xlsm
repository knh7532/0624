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최신유형기출\"/>
    </mc:Choice>
  </mc:AlternateContent>
  <xr:revisionPtr revIDLastSave="0" documentId="13_ncr:1_{AEDDE298-DDDA-4348-8667-AC39B1320DB1}" xr6:coauthVersionLast="47" xr6:coauthVersionMax="47" xr10:uidLastSave="{00000000-0000-0000-0000-000000000000}"/>
  <workbookProtection lockStructure="1"/>
  <bookViews>
    <workbookView xWindow="1500" yWindow="510" windowWidth="23325" windowHeight="14685" activeTab="4" xr2:uid="{00000000-000D-0000-FFFF-FFFF00000000}"/>
  </bookViews>
  <sheets>
    <sheet name="기본작업-1" sheetId="2" r:id="rId1"/>
    <sheet name="기본작업-2" sheetId="8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7" r:id="rId8"/>
  </sheets>
  <functionGroups builtInGroupCount="19"/>
  <definedNames>
    <definedName name="_xlnm._FilterDatabase" localSheetId="0" hidden="1">'기본작업-1'!$B$3:$N$28</definedName>
    <definedName name="_xlnm._FilterDatabase" localSheetId="1" hidden="1">'기본작업-2'!$B$2:$N$27</definedName>
    <definedName name="_xlnm._FilterDatabase" localSheetId="4" hidden="1">'분석작업-2'!$B$3:$N$28</definedName>
    <definedName name="_xlnm.Criteria" localSheetId="0">'기본작업-1'!$P$3:$P$4</definedName>
    <definedName name="_xlnm.Criteria" localSheetId="1">'기본작업-2'!#REF!</definedName>
    <definedName name="_xlnm.Extract" localSheetId="0">'기본작업-1'!$P$6:$T$6</definedName>
    <definedName name="_xlnm.Extract" localSheetId="1">'기본작업-2'!#REF!</definedName>
    <definedName name="MS_Access_Database_Query" localSheetId="3" hidden="1">'분석작업-1'!#REF!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3" l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" i="3"/>
  <c r="N21" i="3" a="1"/>
  <c r="N21" i="3" s="1"/>
  <c r="M16" i="3" a="1"/>
  <c r="M16" i="3" s="1"/>
  <c r="M17" i="3" a="1"/>
  <c r="M17" i="3" s="1"/>
  <c r="M15" i="3" a="1"/>
  <c r="M15" i="3" s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O4" i="8"/>
  <c r="P4" i="8"/>
  <c r="O5" i="8"/>
  <c r="P5" i="8"/>
  <c r="O6" i="8"/>
  <c r="P6" i="8"/>
  <c r="O7" i="8"/>
  <c r="P7" i="8"/>
  <c r="O8" i="8"/>
  <c r="P8" i="8"/>
  <c r="O9" i="8"/>
  <c r="P9" i="8"/>
  <c r="O10" i="8"/>
  <c r="P10" i="8"/>
  <c r="O11" i="8"/>
  <c r="P11" i="8"/>
  <c r="O12" i="8"/>
  <c r="P12" i="8"/>
  <c r="O13" i="8"/>
  <c r="P13" i="8"/>
  <c r="O14" i="8"/>
  <c r="P14" i="8"/>
  <c r="O15" i="8"/>
  <c r="P15" i="8"/>
  <c r="O16" i="8"/>
  <c r="P16" i="8"/>
  <c r="O17" i="8"/>
  <c r="P17" i="8"/>
  <c r="O18" i="8"/>
  <c r="P18" i="8"/>
  <c r="O19" i="8"/>
  <c r="P19" i="8"/>
  <c r="O20" i="8"/>
  <c r="P20" i="8"/>
  <c r="O21" i="8"/>
  <c r="P21" i="8"/>
  <c r="O22" i="8"/>
  <c r="P22" i="8"/>
  <c r="O23" i="8"/>
  <c r="P23" i="8"/>
  <c r="O24" i="8"/>
  <c r="P24" i="8"/>
  <c r="O25" i="8"/>
  <c r="P25" i="8"/>
  <c r="O26" i="8"/>
  <c r="P26" i="8"/>
  <c r="O27" i="8"/>
  <c r="P27" i="8"/>
  <c r="P3" i="8"/>
  <c r="O3" i="8"/>
  <c r="P4" i="2"/>
  <c r="J4" i="3" a="1"/>
  <c r="J6" i="3" a="1"/>
  <c r="J8" i="3" a="1"/>
  <c r="J10" i="3" a="1"/>
  <c r="J12" i="3" a="1"/>
  <c r="J14" i="3" a="1"/>
  <c r="J16" i="3" a="1"/>
  <c r="J18" i="3" a="1"/>
  <c r="J20" i="3" a="1"/>
  <c r="J22" i="3" a="1"/>
  <c r="J24" i="3" a="1"/>
  <c r="J26" i="3" a="1"/>
  <c r="J28" i="3" a="1"/>
  <c r="J9" i="3" a="1"/>
  <c r="J21" i="3" a="1"/>
  <c r="J29" i="3" a="1"/>
  <c r="J5" i="3" a="1"/>
  <c r="J7" i="3" a="1"/>
  <c r="J11" i="3" a="1"/>
  <c r="J13" i="3" a="1"/>
  <c r="J15" i="3" a="1"/>
  <c r="J17" i="3" a="1"/>
  <c r="J19" i="3" a="1"/>
  <c r="J23" i="3" a="1"/>
  <c r="J25" i="3" a="1"/>
  <c r="J27" i="3" a="1"/>
  <c r="J3" i="3" a="1"/>
  <c r="J27" i="3" l="1"/>
  <c r="J25" i="3"/>
  <c r="J23" i="3"/>
  <c r="J19" i="3"/>
  <c r="J17" i="3"/>
  <c r="J15" i="3"/>
  <c r="J13" i="3"/>
  <c r="J11" i="3"/>
  <c r="J7" i="3"/>
  <c r="J5" i="3"/>
  <c r="J29" i="3"/>
  <c r="J21" i="3"/>
  <c r="J9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J3" i="3"/>
  <c r="N22" i="3"/>
  <c r="N24" i="3"/>
  <c r="N23" i="3"/>
  <c r="N2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청약정보.accdb;DefaultDir=C:\OA;DriverId=25;FIL=MS Access;MaxBufferSize=2048;PageTimeout=5;" command="SELECT 청약신청.지역, 청약신청.구분, 청약신청.청약가능액, 청약신청.현재예치금, 청약신청.무주택, 청약신청.부양가족수, 청약신청.가입년수_x000d__x000a_FROM `C:\OA\청약정보.accdb`.청약신청 청약신청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<sst xmlns="http://schemas.openxmlformats.org/spreadsheetml/2006/main" count="318" uniqueCount="133">
  <si>
    <t>[표1]</t>
    <phoneticPr fontId="2" type="noConversion"/>
  </si>
  <si>
    <t>지역</t>
    <phoneticPr fontId="2" type="noConversion"/>
  </si>
  <si>
    <t>지점명</t>
    <phoneticPr fontId="2" type="noConversion"/>
  </si>
  <si>
    <t>1월</t>
    <phoneticPr fontId="2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</si>
  <si>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</si>
  <si>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</si>
  <si>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</si>
  <si>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</si>
  <si>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</si>
  <si>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</si>
  <si>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</si>
  <si>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</si>
  <si>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</si>
  <si>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</si>
  <si>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</si>
  <si>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대구</t>
    <phoneticPr fontId="2" type="noConversion"/>
  </si>
  <si>
    <t>부산</t>
    <phoneticPr fontId="2" type="noConversion"/>
  </si>
  <si>
    <t>대전</t>
    <phoneticPr fontId="2" type="noConversion"/>
  </si>
  <si>
    <t>[표1]</t>
    <phoneticPr fontId="2" type="noConversion"/>
  </si>
  <si>
    <t>수원</t>
    <phoneticPr fontId="2" type="noConversion"/>
  </si>
  <si>
    <t>원주</t>
    <phoneticPr fontId="2" type="noConversion"/>
  </si>
  <si>
    <t>울산</t>
    <phoneticPr fontId="2" type="noConversion"/>
  </si>
  <si>
    <t>목포</t>
    <phoneticPr fontId="2" type="noConversion"/>
  </si>
  <si>
    <t>광주</t>
    <phoneticPr fontId="2" type="noConversion"/>
  </si>
  <si>
    <t>평년</t>
    <phoneticPr fontId="2" type="noConversion"/>
  </si>
  <si>
    <t>분야</t>
    <phoneticPr fontId="2" type="noConversion"/>
  </si>
  <si>
    <t>구분</t>
    <phoneticPr fontId="2" type="noConversion"/>
  </si>
  <si>
    <t>저자</t>
    <phoneticPr fontId="2" type="noConversion"/>
  </si>
  <si>
    <t>출판사</t>
    <phoneticPr fontId="2" type="noConversion"/>
  </si>
  <si>
    <t>[표2]</t>
    <phoneticPr fontId="2" type="noConversion"/>
  </si>
  <si>
    <t>발행연도</t>
    <phoneticPr fontId="2" type="noConversion"/>
  </si>
  <si>
    <t>[표4] 지역별 무주택 평균</t>
    <phoneticPr fontId="2" type="noConversion"/>
  </si>
  <si>
    <t>지역</t>
    <phoneticPr fontId="2" type="noConversion"/>
  </si>
  <si>
    <t>기타광역시</t>
    <phoneticPr fontId="2" type="noConversion"/>
  </si>
  <si>
    <t>[표1]</t>
    <phoneticPr fontId="2" type="noConversion"/>
  </si>
  <si>
    <t>[표2]</t>
    <phoneticPr fontId="2" type="noConversion"/>
  </si>
  <si>
    <t>번호</t>
    <phoneticPr fontId="2" type="noConversion"/>
  </si>
  <si>
    <t>청약가능액</t>
    <phoneticPr fontId="2" type="noConversion"/>
  </si>
  <si>
    <t>현재예치금</t>
    <phoneticPr fontId="2" type="noConversion"/>
  </si>
  <si>
    <t>무주택</t>
    <phoneticPr fontId="2" type="noConversion"/>
  </si>
  <si>
    <t>부양가족수</t>
    <phoneticPr fontId="2" type="noConversion"/>
  </si>
  <si>
    <t>가입년수</t>
    <phoneticPr fontId="2" type="noConversion"/>
  </si>
  <si>
    <t>가산점</t>
    <phoneticPr fontId="2" type="noConversion"/>
  </si>
  <si>
    <t>코드</t>
    <phoneticPr fontId="2" type="noConversion"/>
  </si>
  <si>
    <t>SB</t>
    <phoneticPr fontId="2" type="noConversion"/>
  </si>
  <si>
    <t>KY</t>
    <phoneticPr fontId="2" type="noConversion"/>
  </si>
  <si>
    <t>KT</t>
    <phoneticPr fontId="2" type="noConversion"/>
  </si>
  <si>
    <t>[표3] 청약가능액</t>
    <phoneticPr fontId="2" type="noConversion"/>
  </si>
  <si>
    <t>[표5] 현재예치금 비율</t>
    <phoneticPr fontId="2" type="noConversion"/>
  </si>
  <si>
    <t>비율</t>
    <phoneticPr fontId="2" type="noConversion"/>
  </si>
  <si>
    <t>무주택 평균</t>
    <phoneticPr fontId="2" type="noConversion"/>
  </si>
  <si>
    <t>구리</t>
    <phoneticPr fontId="2" type="noConversion"/>
  </si>
  <si>
    <t>성남</t>
    <phoneticPr fontId="2" type="noConversion"/>
  </si>
  <si>
    <t>속초</t>
    <phoneticPr fontId="2" type="noConversion"/>
  </si>
  <si>
    <t>수원</t>
    <phoneticPr fontId="2" type="noConversion"/>
  </si>
  <si>
    <t>시흥</t>
    <phoneticPr fontId="2" type="noConversion"/>
  </si>
  <si>
    <t>용인</t>
    <phoneticPr fontId="2" type="noConversion"/>
  </si>
  <si>
    <t>통영</t>
    <phoneticPr fontId="2" type="noConversion"/>
  </si>
  <si>
    <t>춘천</t>
    <phoneticPr fontId="2" type="noConversion"/>
  </si>
  <si>
    <t>철원</t>
    <phoneticPr fontId="2" type="noConversion"/>
  </si>
  <si>
    <t>부산</t>
    <phoneticPr fontId="2" type="noConversion"/>
  </si>
  <si>
    <t>화성</t>
    <phoneticPr fontId="2" type="noConversion"/>
  </si>
  <si>
    <t>파주</t>
    <phoneticPr fontId="2" type="noConversion"/>
  </si>
  <si>
    <t>강남</t>
    <phoneticPr fontId="2" type="noConversion"/>
  </si>
  <si>
    <t>강동</t>
    <phoneticPr fontId="2" type="noConversion"/>
  </si>
  <si>
    <t>강북</t>
    <phoneticPr fontId="2" type="noConversion"/>
  </si>
  <si>
    <t>강서</t>
    <phoneticPr fontId="2" type="noConversion"/>
  </si>
  <si>
    <t>고양</t>
    <phoneticPr fontId="2" type="noConversion"/>
  </si>
  <si>
    <t>강릉</t>
    <phoneticPr fontId="2" type="noConversion"/>
  </si>
  <si>
    <t>기타시군</t>
  </si>
  <si>
    <t>구분</t>
  </si>
  <si>
    <t>서울/부산</t>
  </si>
  <si>
    <t>지역</t>
  </si>
  <si>
    <t>인천광역시</t>
  </si>
  <si>
    <t>85㎡ 이하</t>
  </si>
  <si>
    <t>135㎡ 이하</t>
  </si>
  <si>
    <t>용인시</t>
  </si>
  <si>
    <t>102㎡ 이하</t>
  </si>
  <si>
    <t>광주광역시</t>
  </si>
  <si>
    <t>수원시</t>
  </si>
  <si>
    <t>울산광역시</t>
  </si>
  <si>
    <t>고양시</t>
  </si>
  <si>
    <t>안양시</t>
  </si>
  <si>
    <t>135㎡ 초과</t>
  </si>
  <si>
    <t>서울특별시</t>
  </si>
  <si>
    <t>[표1] 매화 개화 시기</t>
    <phoneticPr fontId="2" type="noConversion"/>
  </si>
  <si>
    <t>[표2] 벚꽃 개화 시기</t>
    <phoneticPr fontId="2" type="noConversion"/>
  </si>
  <si>
    <t>제주</t>
    <phoneticPr fontId="2" type="noConversion"/>
  </si>
  <si>
    <t>제주</t>
    <phoneticPr fontId="2" type="noConversion"/>
  </si>
  <si>
    <t>2021년</t>
    <phoneticPr fontId="2" type="noConversion"/>
  </si>
  <si>
    <t>2021년</t>
    <phoneticPr fontId="2" type="noConversion"/>
  </si>
  <si>
    <t>2021년</t>
    <phoneticPr fontId="2" type="noConversion"/>
  </si>
  <si>
    <t>대구</t>
    <phoneticPr fontId="2" type="noConversion"/>
  </si>
  <si>
    <t>대구</t>
    <phoneticPr fontId="2" type="noConversion"/>
  </si>
  <si>
    <t>광주</t>
    <phoneticPr fontId="2" type="noConversion"/>
  </si>
  <si>
    <t>광주</t>
    <phoneticPr fontId="2" type="noConversion"/>
  </si>
  <si>
    <t>광주</t>
    <phoneticPr fontId="2" type="noConversion"/>
  </si>
  <si>
    <t>전주</t>
    <phoneticPr fontId="2" type="noConversion"/>
  </si>
  <si>
    <t>전주</t>
    <phoneticPr fontId="2" type="noConversion"/>
  </si>
  <si>
    <t>[표3] 진달래 개화 시기</t>
    <phoneticPr fontId="2" type="noConversion"/>
  </si>
  <si>
    <t>인천</t>
    <phoneticPr fontId="2" type="noConversion"/>
  </si>
  <si>
    <t>서울</t>
    <phoneticPr fontId="2" type="noConversion"/>
  </si>
  <si>
    <t>인천</t>
    <phoneticPr fontId="2" type="noConversion"/>
  </si>
  <si>
    <t>인천</t>
    <phoneticPr fontId="2" type="noConversion"/>
  </si>
  <si>
    <t>서울</t>
    <phoneticPr fontId="2" type="noConversion"/>
  </si>
  <si>
    <t>강원</t>
    <phoneticPr fontId="2" type="noConversion"/>
  </si>
  <si>
    <t>강원</t>
    <phoneticPr fontId="2" type="noConversion"/>
  </si>
  <si>
    <t>소설</t>
    <phoneticPr fontId="2" type="noConversion"/>
  </si>
  <si>
    <t>시/에세이</t>
    <phoneticPr fontId="2" type="noConversion"/>
  </si>
  <si>
    <t>자기계발</t>
    <phoneticPr fontId="2" type="noConversion"/>
  </si>
  <si>
    <t>역사/문화</t>
    <phoneticPr fontId="2" type="noConversion"/>
  </si>
  <si>
    <t>정치/사회</t>
    <phoneticPr fontId="2" type="noConversion"/>
  </si>
  <si>
    <t>컴퓨터/IT</t>
    <phoneticPr fontId="2" type="noConversion"/>
  </si>
  <si>
    <t>판매가</t>
    <phoneticPr fontId="2" type="noConversion"/>
  </si>
  <si>
    <t>도서명</t>
    <phoneticPr fontId="2" type="noConversion"/>
  </si>
  <si>
    <t>부산광역시</t>
  </si>
  <si>
    <t>여의도</t>
    <phoneticPr fontId="2" type="noConversion"/>
  </si>
  <si>
    <t>청량리</t>
    <phoneticPr fontId="2" type="noConversion"/>
  </si>
  <si>
    <t>왕십리</t>
    <phoneticPr fontId="2" type="noConversion"/>
  </si>
  <si>
    <t>조건</t>
    <phoneticPr fontId="2" type="noConversion"/>
  </si>
  <si>
    <t>합계</t>
    <phoneticPr fontId="2" type="noConversion"/>
  </si>
  <si>
    <t>평균</t>
    <phoneticPr fontId="2" type="noConversion"/>
  </si>
  <si>
    <t>총합계</t>
  </si>
  <si>
    <t>합계 : 현재예치금</t>
  </si>
  <si>
    <t>파주시</t>
  </si>
  <si>
    <t>지역2</t>
  </si>
  <si>
    <t>기타광역시</t>
  </si>
  <si>
    <t>역사/문화</t>
  </si>
  <si>
    <t>외국도서</t>
  </si>
  <si>
    <t>사피엔스</t>
  </si>
  <si>
    <t>유발하라리</t>
  </si>
  <si>
    <t>김영사</t>
  </si>
  <si>
    <t>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</si>
</sst>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&quot;㎡&quot;"/>
    <numFmt numFmtId="177" formatCode="0\ \~"/>
    <numFmt numFmtId="178" formatCode="0&quot;㎡ 이상&quot;"/>
    <numFmt numFmtId="179" formatCode="0.0_ "/>
    <numFmt numFmtId="180" formatCode="mm&quot;월&quot;\ dd&quot;일&quot;"/>
    <numFmt numFmtId="181" formatCode="0.0"/>
    <numFmt numFmtId="182" formatCode="#,##0_ 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78" fontId="0" fillId="0" borderId="1" xfId="0" applyNumberFormat="1" applyBorder="1">
      <alignment vertical="center"/>
    </xf>
    <xf numFmtId="179" fontId="0" fillId="0" borderId="1" xfId="1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181" fontId="0" fillId="3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81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18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solid">
          <fgColor rgb="FFFFC000"/>
          <bgColor rgb="FF00000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주요꽃 개화현황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매화</c:v>
          </c:tx>
          <c:spPr>
            <a:gradFill rotWithShape="1">
              <a:gsLst>
                <a:gs pos="0">
                  <a:schemeClr val="accent6">
                    <a:tint val="50000"/>
                    <a:satMod val="300000"/>
                  </a:schemeClr>
                </a:gs>
                <a:gs pos="35000">
                  <a:schemeClr val="accent6">
                    <a:tint val="37000"/>
                    <a:satMod val="300000"/>
                  </a:schemeClr>
                </a:gs>
                <a:gs pos="100000">
                  <a:schemeClr val="accent6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strRef>
              <c:f>'기타작업-1'!$B$4:$B$13</c:f>
              <c:strCache>
                <c:ptCount val="10"/>
                <c:pt idx="0">
                  <c:v>제주</c:v>
                </c:pt>
                <c:pt idx="1">
                  <c:v>부산</c:v>
                </c:pt>
                <c:pt idx="2">
                  <c:v>대구</c:v>
                </c:pt>
                <c:pt idx="3">
                  <c:v>광주</c:v>
                </c:pt>
                <c:pt idx="4">
                  <c:v>전주</c:v>
                </c:pt>
                <c:pt idx="5">
                  <c:v>대전</c:v>
                </c:pt>
                <c:pt idx="6">
                  <c:v>강원</c:v>
                </c:pt>
                <c:pt idx="7">
                  <c:v>수원</c:v>
                </c:pt>
                <c:pt idx="8">
                  <c:v>인천</c:v>
                </c:pt>
                <c:pt idx="9">
                  <c:v>서울</c:v>
                </c:pt>
              </c:strCache>
            </c:strRef>
          </c:cat>
          <c:val>
            <c:numRef>
              <c:f>'기타작업-1'!$C$4:$C$13</c:f>
              <c:numCache>
                <c:formatCode>mm"월"\ dd"일"</c:formatCode>
                <c:ptCount val="10"/>
                <c:pt idx="0">
                  <c:v>44257</c:v>
                </c:pt>
                <c:pt idx="1">
                  <c:v>44260</c:v>
                </c:pt>
                <c:pt idx="2">
                  <c:v>44265</c:v>
                </c:pt>
                <c:pt idx="3">
                  <c:v>44266</c:v>
                </c:pt>
                <c:pt idx="4">
                  <c:v>44267</c:v>
                </c:pt>
                <c:pt idx="5">
                  <c:v>44268</c:v>
                </c:pt>
                <c:pt idx="6">
                  <c:v>44275</c:v>
                </c:pt>
                <c:pt idx="7">
                  <c:v>44270</c:v>
                </c:pt>
                <c:pt idx="8">
                  <c:v>44273</c:v>
                </c:pt>
                <c:pt idx="9">
                  <c:v>44271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2-4BF4-BC25-25B3FF18F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8368"/>
        <c:axId val="93579904"/>
      </c:areaChart>
      <c:lineChart>
        <c:grouping val="standard"/>
        <c:varyColors val="0"/>
        <c:ser>
          <c:idx val="1"/>
          <c:order val="1"/>
          <c:tx>
            <c:v>벚꽃</c:v>
          </c:tx>
          <c:cat>
            <c:strRef>
              <c:f>'기타작업-1'!$B$4:$B$13</c:f>
              <c:strCache>
                <c:ptCount val="10"/>
                <c:pt idx="0">
                  <c:v>제주</c:v>
                </c:pt>
                <c:pt idx="1">
                  <c:v>부산</c:v>
                </c:pt>
                <c:pt idx="2">
                  <c:v>대구</c:v>
                </c:pt>
                <c:pt idx="3">
                  <c:v>광주</c:v>
                </c:pt>
                <c:pt idx="4">
                  <c:v>전주</c:v>
                </c:pt>
                <c:pt idx="5">
                  <c:v>대전</c:v>
                </c:pt>
                <c:pt idx="6">
                  <c:v>강원</c:v>
                </c:pt>
                <c:pt idx="7">
                  <c:v>수원</c:v>
                </c:pt>
                <c:pt idx="8">
                  <c:v>인천</c:v>
                </c:pt>
                <c:pt idx="9">
                  <c:v>서울</c:v>
                </c:pt>
              </c:strCache>
            </c:strRef>
          </c:cat>
          <c:val>
            <c:numRef>
              <c:f>'기타작업-1'!$G$4:$G$13</c:f>
              <c:numCache>
                <c:formatCode>mm"월"\ dd"일"</c:formatCode>
                <c:ptCount val="10"/>
                <c:pt idx="0">
                  <c:v>44263</c:v>
                </c:pt>
                <c:pt idx="1">
                  <c:v>44266</c:v>
                </c:pt>
                <c:pt idx="2">
                  <c:v>44265</c:v>
                </c:pt>
                <c:pt idx="3">
                  <c:v>44275</c:v>
                </c:pt>
                <c:pt idx="4">
                  <c:v>44277</c:v>
                </c:pt>
                <c:pt idx="5">
                  <c:v>44280</c:v>
                </c:pt>
                <c:pt idx="6">
                  <c:v>44283</c:v>
                </c:pt>
                <c:pt idx="7">
                  <c:v>44285</c:v>
                </c:pt>
                <c:pt idx="8">
                  <c:v>44289</c:v>
                </c:pt>
                <c:pt idx="9">
                  <c:v>44287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F4-BC25-25B3FF18F5FB}"/>
            </c:ext>
          </c:extLst>
        </c:ser>
        <c:ser>
          <c:idx val="2"/>
          <c:order val="2"/>
          <c:tx>
            <c:v>진달래</c:v>
          </c:tx>
          <c:marker>
            <c:symbol val="circle"/>
            <c:size val="7"/>
          </c:marker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D1-4760-95D3-E301BB2A8D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'기타작업-1'!$J$4:$J$13</c:f>
              <c:strCache>
                <c:ptCount val="10"/>
                <c:pt idx="0">
                  <c:v>제주</c:v>
                </c:pt>
                <c:pt idx="1">
                  <c:v>부산</c:v>
                </c:pt>
                <c:pt idx="2">
                  <c:v>대구</c:v>
                </c:pt>
                <c:pt idx="3">
                  <c:v>광주</c:v>
                </c:pt>
                <c:pt idx="4">
                  <c:v>전주</c:v>
                </c:pt>
                <c:pt idx="5">
                  <c:v>대전</c:v>
                </c:pt>
                <c:pt idx="6">
                  <c:v>강원</c:v>
                </c:pt>
                <c:pt idx="7">
                  <c:v>수원</c:v>
                </c:pt>
                <c:pt idx="8">
                  <c:v>인천</c:v>
                </c:pt>
                <c:pt idx="9">
                  <c:v>서울</c:v>
                </c:pt>
              </c:strCache>
            </c:strRef>
          </c:cat>
          <c:val>
            <c:numRef>
              <c:f>'기타작업-1'!$K$4:$K$13</c:f>
              <c:numCache>
                <c:formatCode>mm"월"\ dd"일"</c:formatCode>
                <c:ptCount val="10"/>
                <c:pt idx="0">
                  <c:v>44278</c:v>
                </c:pt>
                <c:pt idx="1">
                  <c:v>44281</c:v>
                </c:pt>
                <c:pt idx="2">
                  <c:v>44284</c:v>
                </c:pt>
                <c:pt idx="3">
                  <c:v>44286</c:v>
                </c:pt>
                <c:pt idx="4">
                  <c:v>44281</c:v>
                </c:pt>
                <c:pt idx="5">
                  <c:v>44286</c:v>
                </c:pt>
                <c:pt idx="6">
                  <c:v>44287</c:v>
                </c:pt>
                <c:pt idx="7">
                  <c:v>44293</c:v>
                </c:pt>
                <c:pt idx="8">
                  <c:v>44295</c:v>
                </c:pt>
                <c:pt idx="9">
                  <c:v>44292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1D1-4760-95D3-E301BB2A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78368"/>
        <c:axId val="93579904"/>
      </c:lineChart>
      <c:catAx>
        <c:axId val="9357836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93579904"/>
        <c:crosses val="autoZero"/>
        <c:auto val="1"/>
        <c:lblAlgn val="ctr"/>
        <c:lblOffset val="100"/>
        <c:noMultiLvlLbl val="0"/>
      </c:catAx>
      <c:valAx>
        <c:axId val="93579904"/>
        <c:scaling>
          <c:orientation val="minMax"/>
          <c:max val="44296"/>
          <c:min val="44256"/>
        </c:scaling>
        <c:delete val="0"/>
        <c:axPos val="l"/>
        <c:majorGridlines/>
        <c:numFmt formatCode="mm&quot;월&quot;\ dd&quot;일&quot;" sourceLinked="1"/>
        <c:majorTickMark val="out"/>
        <c:minorTickMark val="none"/>
        <c:tickLblPos val="nextTo"/>
        <c:crossAx val="93578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14</xdr:row>
      <xdr:rowOff>0</xdr:rowOff>
    </xdr:from>
    <xdr:to>
      <xdr:col>10</xdr:col>
      <xdr:colOff>790574</xdr:colOff>
      <xdr:row>33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29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121" name="cmd도서등록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059.627855787039" createdVersion="6" refreshedVersion="6" minRefreshableVersion="3" recordCount="27" xr:uid="{00000000-000A-0000-FFFF-FFFF00000000}">
  <cacheSource type="external" connectionId="1"/>
  <cacheFields count="8">
    <cacheField name="지역" numFmtId="0" sqlType="-9">
      <sharedItems count="10">
        <s v="인천광역시"/>
        <s v="파주시"/>
        <s v="용인시"/>
        <s v="광주광역시"/>
        <s v="수원시"/>
        <s v="울산광역시"/>
        <s v="고양시"/>
        <s v="부산광역시"/>
        <s v="서울특별시"/>
        <s v="안양시"/>
      </sharedItems>
      <fieldGroup par="7"/>
    </cacheField>
    <cacheField name="구분" numFmtId="0" sqlType="-9">
      <sharedItems count="4">
        <s v="85㎡ 이하"/>
        <s v="135㎡ 이하"/>
        <s v="102㎡ 이하"/>
        <s v="135㎡ 초과"/>
      </sharedItems>
    </cacheField>
    <cacheField name="청약가능액" numFmtId="0" sqlType="8">
      <sharedItems containsSemiMixedTypes="0" containsString="0" containsNumber="1" containsInteger="1" minValue="200" maxValue="1500" count="8">
        <n v="200"/>
        <n v="1000"/>
        <n v="700"/>
        <n v="600"/>
        <n v="250"/>
        <n v="300"/>
        <n v="400"/>
        <n v="1500"/>
      </sharedItems>
    </cacheField>
    <cacheField name="현재예치금" numFmtId="0" sqlType="8">
      <sharedItems containsSemiMixedTypes="0" containsString="0" containsNumber="1" containsInteger="1" minValue="100" maxValue="2000" count="12">
        <n v="350"/>
        <n v="1200"/>
        <n v="800"/>
        <n v="300"/>
        <n v="500"/>
        <n v="600"/>
        <n v="250"/>
        <n v="200"/>
        <n v="450"/>
        <n v="1500"/>
        <n v="100"/>
        <n v="2000"/>
      </sharedItems>
    </cacheField>
    <cacheField name="무주택" numFmtId="0" sqlType="8">
      <sharedItems containsSemiMixedTypes="0" containsString="0" containsNumber="1" containsInteger="1" minValue="1" maxValue="20" count="15">
        <n v="7"/>
        <n v="6"/>
        <n v="5"/>
        <n v="13"/>
        <n v="1"/>
        <n v="12"/>
        <n v="9"/>
        <n v="10"/>
        <n v="3"/>
        <n v="2"/>
        <n v="20"/>
        <n v="11"/>
        <n v="4"/>
        <n v="16"/>
        <n v="8"/>
      </sharedItems>
    </cacheField>
    <cacheField name="부양가족수" numFmtId="0" sqlType="8">
      <sharedItems containsSemiMixedTypes="0" containsString="0" containsNumber="1" containsInteger="1" minValue="1" maxValue="5" count="5">
        <n v="3"/>
        <n v="4"/>
        <n v="2"/>
        <n v="1"/>
        <n v="5"/>
      </sharedItems>
    </cacheField>
    <cacheField name="가입년수" numFmtId="0" sqlType="8">
      <sharedItems containsSemiMixedTypes="0" containsString="0" containsNumber="1" containsInteger="1" minValue="1" maxValue="13" count="11">
        <n v="5"/>
        <n v="8"/>
        <n v="1"/>
        <n v="2"/>
        <n v="9"/>
        <n v="3"/>
        <n v="13"/>
        <n v="11"/>
        <n v="6"/>
        <n v="12"/>
        <n v="10"/>
      </sharedItems>
    </cacheField>
    <cacheField name="지역2" numFmtId="0" databaseField="0">
      <fieldGroup base="0">
        <discretePr count="10">
          <x v="1"/>
          <x v="2"/>
          <x v="2"/>
          <x v="1"/>
          <x v="2"/>
          <x v="1"/>
          <x v="2"/>
          <x v="0"/>
          <x v="0"/>
          <x v="2"/>
        </discretePr>
        <groupItems count="3">
          <s v="그룹1"/>
          <s v="그룹2"/>
          <s v="그룹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x v="0"/>
    <x v="0"/>
    <x v="0"/>
    <x v="0"/>
    <x v="0"/>
  </r>
  <r>
    <x v="1"/>
    <x v="1"/>
    <x v="1"/>
    <x v="1"/>
    <x v="1"/>
    <x v="1"/>
    <x v="1"/>
  </r>
  <r>
    <x v="2"/>
    <x v="1"/>
    <x v="2"/>
    <x v="2"/>
    <x v="2"/>
    <x v="2"/>
    <x v="2"/>
  </r>
  <r>
    <x v="1"/>
    <x v="0"/>
    <x v="0"/>
    <x v="3"/>
    <x v="3"/>
    <x v="2"/>
    <x v="3"/>
  </r>
  <r>
    <x v="0"/>
    <x v="2"/>
    <x v="3"/>
    <x v="4"/>
    <x v="4"/>
    <x v="3"/>
    <x v="0"/>
  </r>
  <r>
    <x v="3"/>
    <x v="0"/>
    <x v="4"/>
    <x v="3"/>
    <x v="5"/>
    <x v="0"/>
    <x v="4"/>
  </r>
  <r>
    <x v="0"/>
    <x v="1"/>
    <x v="2"/>
    <x v="5"/>
    <x v="6"/>
    <x v="2"/>
    <x v="0"/>
  </r>
  <r>
    <x v="4"/>
    <x v="2"/>
    <x v="5"/>
    <x v="6"/>
    <x v="6"/>
    <x v="0"/>
    <x v="0"/>
  </r>
  <r>
    <x v="2"/>
    <x v="0"/>
    <x v="5"/>
    <x v="6"/>
    <x v="2"/>
    <x v="2"/>
    <x v="5"/>
  </r>
  <r>
    <x v="5"/>
    <x v="1"/>
    <x v="2"/>
    <x v="2"/>
    <x v="7"/>
    <x v="4"/>
    <x v="6"/>
  </r>
  <r>
    <x v="6"/>
    <x v="0"/>
    <x v="0"/>
    <x v="7"/>
    <x v="8"/>
    <x v="1"/>
    <x v="0"/>
  </r>
  <r>
    <x v="7"/>
    <x v="2"/>
    <x v="5"/>
    <x v="6"/>
    <x v="6"/>
    <x v="3"/>
    <x v="1"/>
  </r>
  <r>
    <x v="3"/>
    <x v="0"/>
    <x v="5"/>
    <x v="8"/>
    <x v="9"/>
    <x v="4"/>
    <x v="5"/>
  </r>
  <r>
    <x v="8"/>
    <x v="1"/>
    <x v="1"/>
    <x v="9"/>
    <x v="10"/>
    <x v="0"/>
    <x v="7"/>
  </r>
  <r>
    <x v="6"/>
    <x v="1"/>
    <x v="6"/>
    <x v="4"/>
    <x v="6"/>
    <x v="2"/>
    <x v="0"/>
  </r>
  <r>
    <x v="7"/>
    <x v="2"/>
    <x v="3"/>
    <x v="4"/>
    <x v="11"/>
    <x v="4"/>
    <x v="6"/>
  </r>
  <r>
    <x v="0"/>
    <x v="2"/>
    <x v="6"/>
    <x v="3"/>
    <x v="2"/>
    <x v="3"/>
    <x v="8"/>
  </r>
  <r>
    <x v="9"/>
    <x v="1"/>
    <x v="6"/>
    <x v="4"/>
    <x v="6"/>
    <x v="2"/>
    <x v="0"/>
  </r>
  <r>
    <x v="8"/>
    <x v="2"/>
    <x v="3"/>
    <x v="4"/>
    <x v="11"/>
    <x v="4"/>
    <x v="6"/>
  </r>
  <r>
    <x v="1"/>
    <x v="2"/>
    <x v="6"/>
    <x v="3"/>
    <x v="2"/>
    <x v="3"/>
    <x v="8"/>
  </r>
  <r>
    <x v="2"/>
    <x v="2"/>
    <x v="5"/>
    <x v="6"/>
    <x v="6"/>
    <x v="0"/>
    <x v="0"/>
  </r>
  <r>
    <x v="8"/>
    <x v="0"/>
    <x v="0"/>
    <x v="0"/>
    <x v="12"/>
    <x v="1"/>
    <x v="9"/>
  </r>
  <r>
    <x v="0"/>
    <x v="0"/>
    <x v="4"/>
    <x v="3"/>
    <x v="8"/>
    <x v="2"/>
    <x v="0"/>
  </r>
  <r>
    <x v="4"/>
    <x v="0"/>
    <x v="0"/>
    <x v="10"/>
    <x v="5"/>
    <x v="3"/>
    <x v="3"/>
  </r>
  <r>
    <x v="0"/>
    <x v="3"/>
    <x v="7"/>
    <x v="11"/>
    <x v="13"/>
    <x v="0"/>
    <x v="0"/>
  </r>
  <r>
    <x v="5"/>
    <x v="1"/>
    <x v="2"/>
    <x v="4"/>
    <x v="10"/>
    <x v="2"/>
    <x v="0"/>
  </r>
  <r>
    <x v="3"/>
    <x v="1"/>
    <x v="1"/>
    <x v="2"/>
    <x v="14"/>
    <x v="2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6" indent="0" compact="0" outline="1" outlineData="1" compactData="0" multipleFieldFilters="0" fieldListSortAscending="1">
  <location ref="B2:H17" firstHeaderRow="1" firstDataRow="2" firstDataCol="2"/>
  <pivotFields count="8">
    <pivotField axis="axisRow" compact="0" showAll="0">
      <items count="11">
        <item x="6"/>
        <item x="3"/>
        <item x="7"/>
        <item x="8"/>
        <item x="4"/>
        <item x="9"/>
        <item x="2"/>
        <item x="5"/>
        <item x="0"/>
        <item x="1"/>
        <item t="default"/>
      </items>
    </pivotField>
    <pivotField axis="axisCol" compact="0" showAll="0">
      <items count="5">
        <item x="0"/>
        <item x="2"/>
        <item x="1"/>
        <item x="3"/>
        <item t="default"/>
      </items>
    </pivotField>
    <pivotField compact="0" showAll="0"/>
    <pivotField dataField="1" compact="0" showAll="0"/>
    <pivotField compact="0" showAll="0"/>
    <pivotField compact="0" showAll="0"/>
    <pivotField compact="0" showAll="0"/>
    <pivotField axis="axisRow" compact="0" showAll="0">
      <items count="4">
        <item n="기타시군" x="2"/>
        <item n="기타광역시" x="1"/>
        <item n="서울/부산" x="0"/>
        <item t="default"/>
      </items>
    </pivotField>
  </pivotFields>
  <rowFields count="2">
    <field x="7"/>
    <field x="0"/>
  </rowFields>
  <rowItems count="14">
    <i>
      <x/>
    </i>
    <i r="1">
      <x/>
    </i>
    <i r="1">
      <x v="4"/>
    </i>
    <i r="1">
      <x v="5"/>
    </i>
    <i r="1">
      <x v="6"/>
    </i>
    <i r="1">
      <x v="9"/>
    </i>
    <i>
      <x v="1"/>
    </i>
    <i r="1">
      <x v="1"/>
    </i>
    <i r="1">
      <x v="7"/>
    </i>
    <i r="1">
      <x v="8"/>
    </i>
    <i>
      <x v="2"/>
    </i>
    <i r="1">
      <x v="2"/>
    </i>
    <i r="1">
      <x v="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합계 : 현재예치금" fld="3" baseField="0" baseItem="0" numFmtId="18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T28"/>
  <sheetViews>
    <sheetView workbookViewId="0">
      <selection activeCell="B1" sqref="B1"/>
    </sheetView>
  </sheetViews>
  <sheetFormatPr defaultRowHeight="16.5" x14ac:dyDescent="0.3"/>
  <cols>
    <col min="1" max="1" width="2.75" customWidth="1"/>
    <col min="3" max="14" width="6.625" customWidth="1"/>
  </cols>
  <sheetData>
    <row r="2" spans="2:20" x14ac:dyDescent="0.3">
      <c r="B2" t="s">
        <v>18</v>
      </c>
    </row>
    <row r="3" spans="2:20" x14ac:dyDescent="0.3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3" t="s">
        <v>14</v>
      </c>
      <c r="P3" s="12" t="s">
        <v>119</v>
      </c>
    </row>
    <row r="4" spans="2:20" x14ac:dyDescent="0.3">
      <c r="B4" s="3" t="s">
        <v>63</v>
      </c>
      <c r="C4" s="3">
        <v>2</v>
      </c>
      <c r="D4" s="3">
        <v>5</v>
      </c>
      <c r="E4" s="3">
        <v>10</v>
      </c>
      <c r="F4" s="3">
        <v>8</v>
      </c>
      <c r="G4" s="3">
        <v>2</v>
      </c>
      <c r="H4" s="3">
        <v>8</v>
      </c>
      <c r="I4" s="3">
        <v>5</v>
      </c>
      <c r="J4" s="3">
        <v>9</v>
      </c>
      <c r="K4" s="3">
        <v>5</v>
      </c>
      <c r="L4" s="3">
        <v>5</v>
      </c>
      <c r="M4" s="3">
        <v>2</v>
      </c>
      <c r="N4" s="3">
        <v>17</v>
      </c>
      <c r="P4" t="b">
        <f>OR(LEFT(B4,1)="강",LEN(B4)=3)</f>
        <v>1</v>
      </c>
    </row>
    <row r="5" spans="2:20" x14ac:dyDescent="0.3">
      <c r="B5" s="3" t="s">
        <v>64</v>
      </c>
      <c r="C5" s="3">
        <v>6</v>
      </c>
      <c r="D5" s="3">
        <v>30</v>
      </c>
      <c r="E5" s="3">
        <v>6</v>
      </c>
      <c r="F5" s="3">
        <v>7</v>
      </c>
      <c r="G5" s="3">
        <v>2</v>
      </c>
      <c r="H5" s="3">
        <v>4</v>
      </c>
      <c r="I5" s="3">
        <v>4</v>
      </c>
      <c r="J5" s="3">
        <v>1</v>
      </c>
      <c r="K5" s="3">
        <v>12</v>
      </c>
      <c r="L5" s="3">
        <v>5</v>
      </c>
      <c r="M5" s="3">
        <v>4</v>
      </c>
      <c r="N5" s="3">
        <v>1</v>
      </c>
    </row>
    <row r="6" spans="2:20" x14ac:dyDescent="0.3">
      <c r="B6" s="3" t="s">
        <v>65</v>
      </c>
      <c r="C6" s="3">
        <v>4</v>
      </c>
      <c r="D6" s="3">
        <v>1</v>
      </c>
      <c r="E6" s="3">
        <v>5</v>
      </c>
      <c r="F6" s="3">
        <v>7</v>
      </c>
      <c r="G6" s="3">
        <v>20</v>
      </c>
      <c r="H6" s="3">
        <v>7</v>
      </c>
      <c r="I6" s="3">
        <v>19</v>
      </c>
      <c r="J6" s="3">
        <v>1</v>
      </c>
      <c r="K6" s="3">
        <v>5</v>
      </c>
      <c r="L6" s="3">
        <v>8</v>
      </c>
      <c r="M6" s="3">
        <v>4</v>
      </c>
      <c r="N6" s="3">
        <v>1</v>
      </c>
      <c r="P6" s="3" t="s">
        <v>2</v>
      </c>
      <c r="Q6" s="3" t="s">
        <v>11</v>
      </c>
      <c r="R6" s="3" t="s">
        <v>12</v>
      </c>
      <c r="S6" s="3" t="s">
        <v>13</v>
      </c>
      <c r="T6" s="3" t="s">
        <v>14</v>
      </c>
    </row>
    <row r="7" spans="2:20" x14ac:dyDescent="0.3">
      <c r="B7" s="3" t="s">
        <v>66</v>
      </c>
      <c r="C7" s="3">
        <v>5</v>
      </c>
      <c r="D7" s="3">
        <v>4</v>
      </c>
      <c r="E7" s="3">
        <v>5</v>
      </c>
      <c r="F7" s="3">
        <v>3</v>
      </c>
      <c r="G7" s="3">
        <v>1</v>
      </c>
      <c r="H7" s="3">
        <v>5</v>
      </c>
      <c r="I7" s="3">
        <v>7</v>
      </c>
      <c r="J7" s="3">
        <v>2</v>
      </c>
      <c r="K7" s="3">
        <v>7</v>
      </c>
      <c r="L7" s="3">
        <v>8</v>
      </c>
      <c r="M7" s="3">
        <v>21</v>
      </c>
      <c r="N7" s="3">
        <v>5</v>
      </c>
      <c r="P7" s="3" t="s">
        <v>63</v>
      </c>
      <c r="Q7" s="3">
        <v>5</v>
      </c>
      <c r="R7" s="3">
        <v>5</v>
      </c>
      <c r="S7" s="3">
        <v>2</v>
      </c>
      <c r="T7" s="3">
        <v>17</v>
      </c>
    </row>
    <row r="8" spans="2:20" x14ac:dyDescent="0.3">
      <c r="B8" s="3" t="s">
        <v>67</v>
      </c>
      <c r="C8" s="3">
        <v>5</v>
      </c>
      <c r="D8" s="3">
        <v>8</v>
      </c>
      <c r="E8" s="3">
        <v>7</v>
      </c>
      <c r="F8" s="3">
        <v>12</v>
      </c>
      <c r="G8" s="3">
        <v>5</v>
      </c>
      <c r="H8" s="3">
        <v>5</v>
      </c>
      <c r="I8" s="3">
        <v>2</v>
      </c>
      <c r="J8" s="3">
        <v>2</v>
      </c>
      <c r="K8" s="3">
        <v>7</v>
      </c>
      <c r="L8" s="3">
        <v>7</v>
      </c>
      <c r="M8" s="3">
        <v>8</v>
      </c>
      <c r="N8" s="3">
        <v>9</v>
      </c>
      <c r="P8" s="3" t="s">
        <v>64</v>
      </c>
      <c r="Q8" s="3">
        <v>12</v>
      </c>
      <c r="R8" s="3">
        <v>5</v>
      </c>
      <c r="S8" s="3">
        <v>4</v>
      </c>
      <c r="T8" s="3">
        <v>1</v>
      </c>
    </row>
    <row r="9" spans="2:20" x14ac:dyDescent="0.3">
      <c r="B9" s="3" t="s">
        <v>51</v>
      </c>
      <c r="C9" s="3">
        <v>10</v>
      </c>
      <c r="D9" s="3">
        <v>5</v>
      </c>
      <c r="E9" s="3">
        <v>2</v>
      </c>
      <c r="F9" s="3">
        <v>5</v>
      </c>
      <c r="G9" s="3">
        <v>12</v>
      </c>
      <c r="H9" s="3">
        <v>16</v>
      </c>
      <c r="I9" s="3">
        <v>2</v>
      </c>
      <c r="J9" s="3">
        <v>5</v>
      </c>
      <c r="K9" s="3">
        <v>16</v>
      </c>
      <c r="L9" s="3">
        <v>2</v>
      </c>
      <c r="M9" s="3">
        <v>5</v>
      </c>
      <c r="N9" s="3">
        <v>36</v>
      </c>
      <c r="P9" s="3" t="s">
        <v>65</v>
      </c>
      <c r="Q9" s="3">
        <v>5</v>
      </c>
      <c r="R9" s="3">
        <v>8</v>
      </c>
      <c r="S9" s="3">
        <v>4</v>
      </c>
      <c r="T9" s="3">
        <v>1</v>
      </c>
    </row>
    <row r="10" spans="2:20" x14ac:dyDescent="0.3">
      <c r="B10" s="3" t="s">
        <v>52</v>
      </c>
      <c r="C10" s="3">
        <v>10</v>
      </c>
      <c r="D10" s="3">
        <v>2</v>
      </c>
      <c r="E10" s="3">
        <v>5</v>
      </c>
      <c r="F10" s="3">
        <v>2</v>
      </c>
      <c r="G10" s="3">
        <v>6</v>
      </c>
      <c r="H10" s="3">
        <v>7</v>
      </c>
      <c r="I10" s="3">
        <v>5</v>
      </c>
      <c r="J10" s="3">
        <v>2</v>
      </c>
      <c r="K10" s="3">
        <v>6</v>
      </c>
      <c r="L10" s="3">
        <v>5</v>
      </c>
      <c r="M10" s="3">
        <v>2</v>
      </c>
      <c r="N10" s="3">
        <v>6</v>
      </c>
      <c r="P10" s="3" t="s">
        <v>66</v>
      </c>
      <c r="Q10" s="3">
        <v>7</v>
      </c>
      <c r="R10" s="3">
        <v>8</v>
      </c>
      <c r="S10" s="3">
        <v>21</v>
      </c>
      <c r="T10" s="3">
        <v>5</v>
      </c>
    </row>
    <row r="11" spans="2:20" x14ac:dyDescent="0.3">
      <c r="B11" s="3" t="s">
        <v>53</v>
      </c>
      <c r="C11" s="3">
        <v>5</v>
      </c>
      <c r="D11" s="3">
        <v>5</v>
      </c>
      <c r="E11" s="3">
        <v>2</v>
      </c>
      <c r="F11" s="3">
        <v>6</v>
      </c>
      <c r="G11" s="3">
        <v>8</v>
      </c>
      <c r="H11" s="3">
        <v>7</v>
      </c>
      <c r="I11" s="3">
        <v>1</v>
      </c>
      <c r="J11" s="3">
        <v>52</v>
      </c>
      <c r="K11" s="3">
        <v>5</v>
      </c>
      <c r="L11" s="3">
        <v>5</v>
      </c>
      <c r="M11" s="3">
        <v>1</v>
      </c>
      <c r="N11" s="3">
        <v>5</v>
      </c>
      <c r="P11" s="3" t="s">
        <v>68</v>
      </c>
      <c r="Q11" s="3">
        <v>5</v>
      </c>
      <c r="R11" s="3">
        <v>5</v>
      </c>
      <c r="S11" s="3">
        <v>4</v>
      </c>
      <c r="T11" s="3">
        <v>25</v>
      </c>
    </row>
    <row r="12" spans="2:20" x14ac:dyDescent="0.3">
      <c r="B12" s="3" t="s">
        <v>68</v>
      </c>
      <c r="C12" s="3">
        <v>52</v>
      </c>
      <c r="D12" s="3">
        <v>5</v>
      </c>
      <c r="E12" s="3">
        <v>4</v>
      </c>
      <c r="F12" s="3">
        <v>5</v>
      </c>
      <c r="G12" s="3">
        <v>2</v>
      </c>
      <c r="H12" s="3">
        <v>7</v>
      </c>
      <c r="I12" s="3">
        <v>5</v>
      </c>
      <c r="J12" s="3">
        <v>18</v>
      </c>
      <c r="K12" s="3">
        <v>5</v>
      </c>
      <c r="L12" s="3">
        <v>5</v>
      </c>
      <c r="M12" s="3">
        <v>4</v>
      </c>
      <c r="N12" s="3">
        <v>25</v>
      </c>
      <c r="P12" s="3" t="s">
        <v>116</v>
      </c>
      <c r="Q12" s="3">
        <v>5</v>
      </c>
      <c r="R12" s="3">
        <v>4</v>
      </c>
      <c r="S12" s="3">
        <v>2</v>
      </c>
      <c r="T12" s="3">
        <v>5</v>
      </c>
    </row>
    <row r="13" spans="2:20" x14ac:dyDescent="0.3">
      <c r="B13" s="3" t="s">
        <v>54</v>
      </c>
      <c r="C13" s="3">
        <v>2</v>
      </c>
      <c r="D13" s="3">
        <v>1</v>
      </c>
      <c r="E13" s="3">
        <v>4</v>
      </c>
      <c r="F13" s="3">
        <v>5</v>
      </c>
      <c r="G13" s="3">
        <v>2</v>
      </c>
      <c r="H13" s="3">
        <v>5</v>
      </c>
      <c r="I13" s="3">
        <v>1</v>
      </c>
      <c r="J13" s="3">
        <v>4</v>
      </c>
      <c r="K13" s="3">
        <v>5</v>
      </c>
      <c r="L13" s="3">
        <v>8</v>
      </c>
      <c r="M13" s="3">
        <v>5</v>
      </c>
      <c r="N13" s="3">
        <v>2</v>
      </c>
      <c r="P13" s="3" t="s">
        <v>117</v>
      </c>
      <c r="Q13" s="3">
        <v>2</v>
      </c>
      <c r="R13" s="3">
        <v>8</v>
      </c>
      <c r="S13" s="3">
        <v>5</v>
      </c>
      <c r="T13" s="3">
        <v>9</v>
      </c>
    </row>
    <row r="14" spans="2:20" x14ac:dyDescent="0.3">
      <c r="B14" s="3" t="s">
        <v>55</v>
      </c>
      <c r="C14" s="3">
        <v>4</v>
      </c>
      <c r="D14" s="3">
        <v>5</v>
      </c>
      <c r="E14" s="3">
        <v>14</v>
      </c>
      <c r="F14" s="3">
        <v>30</v>
      </c>
      <c r="G14" s="3">
        <v>6</v>
      </c>
      <c r="H14" s="3">
        <v>2</v>
      </c>
      <c r="I14" s="3">
        <v>74</v>
      </c>
      <c r="J14" s="3">
        <v>8</v>
      </c>
      <c r="K14" s="3">
        <v>5</v>
      </c>
      <c r="L14" s="3">
        <v>9</v>
      </c>
      <c r="M14" s="3">
        <v>5</v>
      </c>
      <c r="N14" s="3">
        <v>5</v>
      </c>
      <c r="P14" s="3" t="s">
        <v>118</v>
      </c>
      <c r="Q14" s="3">
        <v>8</v>
      </c>
      <c r="R14" s="3">
        <v>7</v>
      </c>
      <c r="S14" s="3">
        <v>5</v>
      </c>
      <c r="T14" s="3">
        <v>10</v>
      </c>
    </row>
    <row r="15" spans="2:20" x14ac:dyDescent="0.3">
      <c r="B15" s="3" t="s">
        <v>23</v>
      </c>
      <c r="C15" s="3">
        <v>5</v>
      </c>
      <c r="D15" s="3">
        <v>4</v>
      </c>
      <c r="E15" s="3">
        <v>5</v>
      </c>
      <c r="F15" s="3">
        <v>3</v>
      </c>
      <c r="G15" s="3">
        <v>5</v>
      </c>
      <c r="H15" s="3">
        <v>2</v>
      </c>
      <c r="I15" s="3">
        <v>5</v>
      </c>
      <c r="J15" s="3">
        <v>4</v>
      </c>
      <c r="K15" s="3">
        <v>4</v>
      </c>
      <c r="L15" s="3">
        <v>1</v>
      </c>
      <c r="M15" s="3">
        <v>10</v>
      </c>
      <c r="N15" s="3">
        <v>5</v>
      </c>
    </row>
    <row r="16" spans="2:20" x14ac:dyDescent="0.3">
      <c r="B16" s="3" t="s">
        <v>56</v>
      </c>
      <c r="C16" s="3">
        <v>5</v>
      </c>
      <c r="D16" s="3">
        <v>32</v>
      </c>
      <c r="E16" s="3">
        <v>5</v>
      </c>
      <c r="F16" s="3">
        <v>2</v>
      </c>
      <c r="G16" s="3">
        <v>10</v>
      </c>
      <c r="H16" s="3">
        <v>21</v>
      </c>
      <c r="I16" s="3">
        <v>3</v>
      </c>
      <c r="J16" s="3">
        <v>5</v>
      </c>
      <c r="K16" s="3">
        <v>4</v>
      </c>
      <c r="L16" s="3">
        <v>8</v>
      </c>
      <c r="M16" s="3">
        <v>5</v>
      </c>
      <c r="N16" s="3">
        <v>5</v>
      </c>
    </row>
    <row r="17" spans="2:14" x14ac:dyDescent="0.3">
      <c r="B17" s="3" t="s">
        <v>116</v>
      </c>
      <c r="C17" s="3">
        <v>52</v>
      </c>
      <c r="D17" s="3">
        <v>14</v>
      </c>
      <c r="E17" s="3">
        <v>2</v>
      </c>
      <c r="F17" s="3">
        <v>12</v>
      </c>
      <c r="G17" s="3">
        <v>25</v>
      </c>
      <c r="H17" s="3">
        <v>5</v>
      </c>
      <c r="I17" s="3">
        <v>2</v>
      </c>
      <c r="J17" s="3">
        <v>3</v>
      </c>
      <c r="K17" s="3">
        <v>5</v>
      </c>
      <c r="L17" s="3">
        <v>4</v>
      </c>
      <c r="M17" s="3">
        <v>2</v>
      </c>
      <c r="N17" s="3">
        <v>5</v>
      </c>
    </row>
    <row r="18" spans="2:14" x14ac:dyDescent="0.3">
      <c r="B18" s="3" t="s">
        <v>57</v>
      </c>
      <c r="C18" s="3">
        <v>5</v>
      </c>
      <c r="D18" s="3">
        <v>2</v>
      </c>
      <c r="E18" s="3">
        <v>4</v>
      </c>
      <c r="F18" s="3">
        <v>2</v>
      </c>
      <c r="G18" s="3">
        <v>5</v>
      </c>
      <c r="H18" s="3">
        <v>3</v>
      </c>
      <c r="I18" s="3">
        <v>5</v>
      </c>
      <c r="J18" s="3">
        <v>8</v>
      </c>
      <c r="K18" s="3">
        <v>4</v>
      </c>
      <c r="L18" s="3">
        <v>25</v>
      </c>
      <c r="M18" s="3">
        <v>5</v>
      </c>
      <c r="N18" s="3">
        <v>10</v>
      </c>
    </row>
    <row r="19" spans="2:14" x14ac:dyDescent="0.3">
      <c r="B19" s="3" t="s">
        <v>58</v>
      </c>
      <c r="C19" s="3">
        <v>5</v>
      </c>
      <c r="D19" s="3">
        <v>6</v>
      </c>
      <c r="E19" s="3">
        <v>4</v>
      </c>
      <c r="F19" s="3">
        <v>5</v>
      </c>
      <c r="G19" s="3">
        <v>7</v>
      </c>
      <c r="H19" s="3">
        <v>5</v>
      </c>
      <c r="I19" s="3">
        <v>5</v>
      </c>
      <c r="J19" s="3">
        <v>4</v>
      </c>
      <c r="K19" s="3">
        <v>5</v>
      </c>
      <c r="L19" s="3">
        <v>3</v>
      </c>
      <c r="M19" s="3">
        <v>5</v>
      </c>
      <c r="N19" s="3">
        <v>7</v>
      </c>
    </row>
    <row r="20" spans="2:14" x14ac:dyDescent="0.3">
      <c r="B20" s="3" t="s">
        <v>59</v>
      </c>
      <c r="C20" s="3">
        <v>9</v>
      </c>
      <c r="D20" s="3">
        <v>4</v>
      </c>
      <c r="E20" s="3">
        <v>7</v>
      </c>
      <c r="F20" s="3">
        <v>8</v>
      </c>
      <c r="G20" s="3">
        <v>1</v>
      </c>
      <c r="H20" s="3">
        <v>4</v>
      </c>
      <c r="I20" s="3">
        <v>5</v>
      </c>
      <c r="J20" s="3">
        <v>8</v>
      </c>
      <c r="K20" s="3">
        <v>7</v>
      </c>
      <c r="L20" s="3">
        <v>9</v>
      </c>
      <c r="M20" s="3">
        <v>23</v>
      </c>
      <c r="N20" s="3">
        <v>9</v>
      </c>
    </row>
    <row r="21" spans="2:14" x14ac:dyDescent="0.3">
      <c r="B21" s="3" t="s">
        <v>60</v>
      </c>
      <c r="C21" s="3">
        <v>5</v>
      </c>
      <c r="D21" s="3">
        <v>1</v>
      </c>
      <c r="E21" s="3">
        <v>4</v>
      </c>
      <c r="F21" s="3">
        <v>5</v>
      </c>
      <c r="G21" s="3">
        <v>5</v>
      </c>
      <c r="H21" s="3">
        <v>4</v>
      </c>
      <c r="I21" s="3">
        <v>5</v>
      </c>
      <c r="J21" s="3">
        <v>10</v>
      </c>
      <c r="K21" s="3">
        <v>18</v>
      </c>
      <c r="L21" s="3">
        <v>8</v>
      </c>
      <c r="M21" s="3">
        <v>5</v>
      </c>
      <c r="N21" s="3">
        <v>5</v>
      </c>
    </row>
    <row r="22" spans="2:14" x14ac:dyDescent="0.3">
      <c r="B22" s="3" t="s">
        <v>61</v>
      </c>
      <c r="C22" s="3">
        <v>5</v>
      </c>
      <c r="D22" s="3">
        <v>25</v>
      </c>
      <c r="E22" s="3">
        <v>4</v>
      </c>
      <c r="F22" s="3">
        <v>5</v>
      </c>
      <c r="G22" s="3">
        <v>8</v>
      </c>
      <c r="H22" s="3">
        <v>22</v>
      </c>
      <c r="I22" s="3">
        <v>2</v>
      </c>
      <c r="J22" s="3">
        <v>5</v>
      </c>
      <c r="K22" s="3">
        <v>13</v>
      </c>
      <c r="L22" s="3">
        <v>4</v>
      </c>
      <c r="M22" s="3">
        <v>5</v>
      </c>
      <c r="N22" s="3">
        <v>8</v>
      </c>
    </row>
    <row r="23" spans="2:14" x14ac:dyDescent="0.3">
      <c r="B23" s="3" t="s">
        <v>117</v>
      </c>
      <c r="C23" s="3">
        <v>21</v>
      </c>
      <c r="D23" s="3">
        <v>5</v>
      </c>
      <c r="E23" s="3">
        <v>8</v>
      </c>
      <c r="F23" s="3">
        <v>25</v>
      </c>
      <c r="G23" s="3">
        <v>7</v>
      </c>
      <c r="H23" s="3">
        <v>5</v>
      </c>
      <c r="I23" s="3">
        <v>10</v>
      </c>
      <c r="J23" s="3">
        <v>8</v>
      </c>
      <c r="K23" s="3">
        <v>2</v>
      </c>
      <c r="L23" s="3">
        <v>8</v>
      </c>
      <c r="M23" s="3">
        <v>5</v>
      </c>
      <c r="N23" s="3">
        <v>9</v>
      </c>
    </row>
    <row r="24" spans="2:14" x14ac:dyDescent="0.3">
      <c r="B24" s="3" t="s">
        <v>20</v>
      </c>
      <c r="C24" s="3">
        <v>4</v>
      </c>
      <c r="D24" s="3">
        <v>5</v>
      </c>
      <c r="E24" s="3">
        <v>2</v>
      </c>
      <c r="F24" s="3">
        <v>2</v>
      </c>
      <c r="G24" s="3">
        <v>5</v>
      </c>
      <c r="H24" s="3">
        <v>5</v>
      </c>
      <c r="I24" s="3">
        <v>6</v>
      </c>
      <c r="J24" s="3">
        <v>7</v>
      </c>
      <c r="K24" s="3">
        <v>2</v>
      </c>
      <c r="L24" s="3">
        <v>4</v>
      </c>
      <c r="M24" s="3">
        <v>4</v>
      </c>
      <c r="N24" s="3">
        <v>1</v>
      </c>
    </row>
    <row r="25" spans="2:14" x14ac:dyDescent="0.3">
      <c r="B25" s="3" t="s">
        <v>21</v>
      </c>
      <c r="C25" s="3">
        <v>9</v>
      </c>
      <c r="D25" s="3">
        <v>7</v>
      </c>
      <c r="E25" s="3">
        <v>5</v>
      </c>
      <c r="F25" s="3">
        <v>14</v>
      </c>
      <c r="G25" s="3">
        <v>7</v>
      </c>
      <c r="H25" s="3">
        <v>5</v>
      </c>
      <c r="I25" s="3">
        <v>1</v>
      </c>
      <c r="J25" s="3">
        <v>4</v>
      </c>
      <c r="K25" s="3">
        <v>5</v>
      </c>
      <c r="L25" s="3">
        <v>14</v>
      </c>
      <c r="M25" s="3">
        <v>15</v>
      </c>
      <c r="N25" s="3">
        <v>6</v>
      </c>
    </row>
    <row r="26" spans="2:14" x14ac:dyDescent="0.3">
      <c r="B26" s="3" t="s">
        <v>22</v>
      </c>
      <c r="C26" s="3">
        <v>5</v>
      </c>
      <c r="D26" s="3">
        <v>5</v>
      </c>
      <c r="E26" s="3">
        <v>5</v>
      </c>
      <c r="F26" s="3">
        <v>10</v>
      </c>
      <c r="G26" s="3">
        <v>5</v>
      </c>
      <c r="H26" s="3">
        <v>2</v>
      </c>
      <c r="I26" s="3">
        <v>9</v>
      </c>
      <c r="J26" s="3">
        <v>5</v>
      </c>
      <c r="K26" s="3">
        <v>4</v>
      </c>
      <c r="L26" s="3">
        <v>5</v>
      </c>
      <c r="M26" s="3">
        <v>3</v>
      </c>
      <c r="N26" s="3">
        <v>1</v>
      </c>
    </row>
    <row r="27" spans="2:14" x14ac:dyDescent="0.3">
      <c r="B27" s="3" t="s">
        <v>118</v>
      </c>
      <c r="C27" s="3">
        <v>4</v>
      </c>
      <c r="D27" s="3">
        <v>4</v>
      </c>
      <c r="E27" s="3">
        <v>2</v>
      </c>
      <c r="F27" s="3">
        <v>21</v>
      </c>
      <c r="G27" s="3">
        <v>2</v>
      </c>
      <c r="H27" s="3">
        <v>1</v>
      </c>
      <c r="I27" s="3">
        <v>4</v>
      </c>
      <c r="J27" s="3">
        <v>5</v>
      </c>
      <c r="K27" s="3">
        <v>8</v>
      </c>
      <c r="L27" s="3">
        <v>7</v>
      </c>
      <c r="M27" s="3">
        <v>5</v>
      </c>
      <c r="N27" s="3">
        <v>10</v>
      </c>
    </row>
    <row r="28" spans="2:14" x14ac:dyDescent="0.3">
      <c r="B28" s="3" t="s">
        <v>62</v>
      </c>
      <c r="C28" s="3">
        <v>25</v>
      </c>
      <c r="D28" s="3">
        <v>2</v>
      </c>
      <c r="E28" s="3">
        <v>5</v>
      </c>
      <c r="F28" s="3">
        <v>9</v>
      </c>
      <c r="G28" s="3">
        <v>4</v>
      </c>
      <c r="H28" s="3">
        <v>52</v>
      </c>
      <c r="I28" s="3">
        <v>1</v>
      </c>
      <c r="J28" s="3">
        <v>9</v>
      </c>
      <c r="K28" s="3">
        <v>5</v>
      </c>
      <c r="L28" s="3">
        <v>5</v>
      </c>
      <c r="M28" s="3">
        <v>2</v>
      </c>
      <c r="N28" s="3">
        <v>4</v>
      </c>
    </row>
  </sheetData>
  <phoneticPr fontId="2" type="noConversion"/>
  <conditionalFormatting sqref="B4:N28">
    <cfRule type="expression" dxfId="4" priority="1">
      <formula>AND($J4&lt;AVERAGE($J$4:$J$28),$K4&lt;AVERAGE($K$4:$K$28))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P27"/>
  <sheetViews>
    <sheetView workbookViewId="0">
      <selection activeCell="H21" sqref="H21"/>
    </sheetView>
  </sheetViews>
  <sheetFormatPr defaultRowHeight="16.5" x14ac:dyDescent="0.3"/>
  <cols>
    <col min="1" max="1" width="2.75" customWidth="1"/>
    <col min="3" max="14" width="6.625" customWidth="1"/>
    <col min="15" max="16" width="6.75" style="4" customWidth="1"/>
  </cols>
  <sheetData>
    <row r="2" spans="2:16" x14ac:dyDescent="0.3">
      <c r="B2" s="14" t="s">
        <v>2</v>
      </c>
      <c r="C2" s="14" t="s">
        <v>3</v>
      </c>
      <c r="D2" s="14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4" t="s">
        <v>10</v>
      </c>
      <c r="K2" s="14" t="s">
        <v>11</v>
      </c>
      <c r="L2" s="14" t="s">
        <v>12</v>
      </c>
      <c r="M2" s="14" t="s">
        <v>13</v>
      </c>
      <c r="N2" s="14" t="s">
        <v>14</v>
      </c>
      <c r="O2" s="14" t="s">
        <v>120</v>
      </c>
      <c r="P2" s="14" t="s">
        <v>121</v>
      </c>
    </row>
    <row r="3" spans="2:16" x14ac:dyDescent="0.3">
      <c r="B3" s="13" t="s">
        <v>63</v>
      </c>
      <c r="C3" s="13">
        <v>2</v>
      </c>
      <c r="D3" s="13">
        <v>5</v>
      </c>
      <c r="E3" s="13">
        <v>10</v>
      </c>
      <c r="F3" s="13">
        <v>8</v>
      </c>
      <c r="G3" s="13">
        <v>2</v>
      </c>
      <c r="H3" s="13">
        <v>8</v>
      </c>
      <c r="I3" s="13">
        <v>5</v>
      </c>
      <c r="J3" s="13">
        <v>9</v>
      </c>
      <c r="K3" s="13">
        <v>5</v>
      </c>
      <c r="L3" s="13">
        <v>5</v>
      </c>
      <c r="M3" s="13">
        <v>2</v>
      </c>
      <c r="N3" s="13">
        <v>17</v>
      </c>
      <c r="O3" s="15">
        <f>SUM(C3:N3)</f>
        <v>78</v>
      </c>
      <c r="P3" s="16">
        <f>AVERAGE(C3:N3)</f>
        <v>6.5</v>
      </c>
    </row>
    <row r="4" spans="2:16" x14ac:dyDescent="0.3">
      <c r="B4" s="3" t="s">
        <v>64</v>
      </c>
      <c r="C4" s="3">
        <v>6</v>
      </c>
      <c r="D4" s="3">
        <v>30</v>
      </c>
      <c r="E4" s="3">
        <v>6</v>
      </c>
      <c r="F4" s="3">
        <v>7</v>
      </c>
      <c r="G4" s="3">
        <v>2</v>
      </c>
      <c r="H4" s="3">
        <v>4</v>
      </c>
      <c r="I4" s="3">
        <v>4</v>
      </c>
      <c r="J4" s="3">
        <v>1</v>
      </c>
      <c r="K4" s="3">
        <v>12</v>
      </c>
      <c r="L4" s="3">
        <v>5</v>
      </c>
      <c r="M4" s="3">
        <v>4</v>
      </c>
      <c r="N4" s="3">
        <v>1</v>
      </c>
      <c r="O4" s="17">
        <f t="shared" ref="O4:O27" si="0">SUM(C4:N4)</f>
        <v>82</v>
      </c>
      <c r="P4" s="18">
        <f t="shared" ref="P4:P27" si="1">AVERAGE(C4:N4)</f>
        <v>6.833333333333333</v>
      </c>
    </row>
    <row r="5" spans="2:16" x14ac:dyDescent="0.3">
      <c r="B5" s="13" t="s">
        <v>65</v>
      </c>
      <c r="C5" s="13">
        <v>4</v>
      </c>
      <c r="D5" s="13">
        <v>1</v>
      </c>
      <c r="E5" s="13">
        <v>5</v>
      </c>
      <c r="F5" s="13">
        <v>7</v>
      </c>
      <c r="G5" s="13">
        <v>20</v>
      </c>
      <c r="H5" s="13">
        <v>7</v>
      </c>
      <c r="I5" s="13">
        <v>19</v>
      </c>
      <c r="J5" s="13">
        <v>1</v>
      </c>
      <c r="K5" s="13">
        <v>5</v>
      </c>
      <c r="L5" s="13">
        <v>8</v>
      </c>
      <c r="M5" s="13">
        <v>4</v>
      </c>
      <c r="N5" s="13">
        <v>1</v>
      </c>
      <c r="O5" s="15">
        <f t="shared" si="0"/>
        <v>82</v>
      </c>
      <c r="P5" s="16">
        <f t="shared" si="1"/>
        <v>6.833333333333333</v>
      </c>
    </row>
    <row r="6" spans="2:16" x14ac:dyDescent="0.3">
      <c r="B6" s="3" t="s">
        <v>66</v>
      </c>
      <c r="C6" s="3">
        <v>5</v>
      </c>
      <c r="D6" s="3">
        <v>4</v>
      </c>
      <c r="E6" s="3">
        <v>5</v>
      </c>
      <c r="F6" s="3">
        <v>3</v>
      </c>
      <c r="G6" s="3">
        <v>1</v>
      </c>
      <c r="H6" s="3">
        <v>5</v>
      </c>
      <c r="I6" s="3">
        <v>7</v>
      </c>
      <c r="J6" s="3">
        <v>2</v>
      </c>
      <c r="K6" s="3">
        <v>7</v>
      </c>
      <c r="L6" s="3">
        <v>8</v>
      </c>
      <c r="M6" s="3">
        <v>21</v>
      </c>
      <c r="N6" s="3">
        <v>5</v>
      </c>
      <c r="O6" s="17">
        <f t="shared" si="0"/>
        <v>73</v>
      </c>
      <c r="P6" s="18">
        <f t="shared" si="1"/>
        <v>6.083333333333333</v>
      </c>
    </row>
    <row r="7" spans="2:16" x14ac:dyDescent="0.3">
      <c r="B7" s="13" t="s">
        <v>67</v>
      </c>
      <c r="C7" s="13">
        <v>5</v>
      </c>
      <c r="D7" s="13">
        <v>8</v>
      </c>
      <c r="E7" s="13">
        <v>7</v>
      </c>
      <c r="F7" s="13">
        <v>12</v>
      </c>
      <c r="G7" s="13">
        <v>5</v>
      </c>
      <c r="H7" s="13">
        <v>5</v>
      </c>
      <c r="I7" s="13">
        <v>2</v>
      </c>
      <c r="J7" s="13">
        <v>2</v>
      </c>
      <c r="K7" s="13">
        <v>7</v>
      </c>
      <c r="L7" s="13">
        <v>7</v>
      </c>
      <c r="M7" s="13">
        <v>8</v>
      </c>
      <c r="N7" s="13">
        <v>9</v>
      </c>
      <c r="O7" s="15">
        <f t="shared" si="0"/>
        <v>77</v>
      </c>
      <c r="P7" s="16">
        <f t="shared" si="1"/>
        <v>6.416666666666667</v>
      </c>
    </row>
    <row r="8" spans="2:16" x14ac:dyDescent="0.3">
      <c r="B8" s="3" t="s">
        <v>51</v>
      </c>
      <c r="C8" s="3">
        <v>10</v>
      </c>
      <c r="D8" s="3">
        <v>5</v>
      </c>
      <c r="E8" s="3">
        <v>2</v>
      </c>
      <c r="F8" s="3">
        <v>5</v>
      </c>
      <c r="G8" s="3">
        <v>12</v>
      </c>
      <c r="H8" s="3">
        <v>16</v>
      </c>
      <c r="I8" s="3">
        <v>2</v>
      </c>
      <c r="J8" s="3">
        <v>5</v>
      </c>
      <c r="K8" s="3">
        <v>16</v>
      </c>
      <c r="L8" s="3">
        <v>2</v>
      </c>
      <c r="M8" s="3">
        <v>5</v>
      </c>
      <c r="N8" s="3">
        <v>36</v>
      </c>
      <c r="O8" s="17">
        <f t="shared" si="0"/>
        <v>116</v>
      </c>
      <c r="P8" s="18">
        <f t="shared" si="1"/>
        <v>9.6666666666666661</v>
      </c>
    </row>
    <row r="9" spans="2:16" x14ac:dyDescent="0.3">
      <c r="B9" s="13" t="s">
        <v>52</v>
      </c>
      <c r="C9" s="13">
        <v>10</v>
      </c>
      <c r="D9" s="13">
        <v>2</v>
      </c>
      <c r="E9" s="13">
        <v>5</v>
      </c>
      <c r="F9" s="13">
        <v>2</v>
      </c>
      <c r="G9" s="13">
        <v>6</v>
      </c>
      <c r="H9" s="13">
        <v>7</v>
      </c>
      <c r="I9" s="13">
        <v>5</v>
      </c>
      <c r="J9" s="13">
        <v>2</v>
      </c>
      <c r="K9" s="13">
        <v>6</v>
      </c>
      <c r="L9" s="13">
        <v>5</v>
      </c>
      <c r="M9" s="13">
        <v>2</v>
      </c>
      <c r="N9" s="13">
        <v>6</v>
      </c>
      <c r="O9" s="15">
        <f t="shared" si="0"/>
        <v>58</v>
      </c>
      <c r="P9" s="16">
        <f t="shared" si="1"/>
        <v>4.833333333333333</v>
      </c>
    </row>
    <row r="10" spans="2:16" x14ac:dyDescent="0.3">
      <c r="B10" s="3" t="s">
        <v>53</v>
      </c>
      <c r="C10" s="3">
        <v>5</v>
      </c>
      <c r="D10" s="3">
        <v>5</v>
      </c>
      <c r="E10" s="3">
        <v>2</v>
      </c>
      <c r="F10" s="3">
        <v>6</v>
      </c>
      <c r="G10" s="3">
        <v>8</v>
      </c>
      <c r="H10" s="3">
        <v>7</v>
      </c>
      <c r="I10" s="3">
        <v>1</v>
      </c>
      <c r="J10" s="3">
        <v>52</v>
      </c>
      <c r="K10" s="3">
        <v>5</v>
      </c>
      <c r="L10" s="3">
        <v>5</v>
      </c>
      <c r="M10" s="3">
        <v>1</v>
      </c>
      <c r="N10" s="3">
        <v>5</v>
      </c>
      <c r="O10" s="17">
        <f t="shared" si="0"/>
        <v>102</v>
      </c>
      <c r="P10" s="18">
        <f t="shared" si="1"/>
        <v>8.5</v>
      </c>
    </row>
    <row r="11" spans="2:16" x14ac:dyDescent="0.3">
      <c r="B11" s="13" t="s">
        <v>68</v>
      </c>
      <c r="C11" s="13">
        <v>52</v>
      </c>
      <c r="D11" s="13">
        <v>5</v>
      </c>
      <c r="E11" s="13">
        <v>4</v>
      </c>
      <c r="F11" s="13">
        <v>5</v>
      </c>
      <c r="G11" s="13">
        <v>2</v>
      </c>
      <c r="H11" s="13">
        <v>7</v>
      </c>
      <c r="I11" s="13">
        <v>5</v>
      </c>
      <c r="J11" s="13">
        <v>18</v>
      </c>
      <c r="K11" s="13">
        <v>5</v>
      </c>
      <c r="L11" s="13">
        <v>5</v>
      </c>
      <c r="M11" s="13">
        <v>4</v>
      </c>
      <c r="N11" s="13">
        <v>25</v>
      </c>
      <c r="O11" s="15">
        <f t="shared" si="0"/>
        <v>137</v>
      </c>
      <c r="P11" s="16">
        <f t="shared" si="1"/>
        <v>11.416666666666666</v>
      </c>
    </row>
    <row r="12" spans="2:16" x14ac:dyDescent="0.3">
      <c r="B12" s="3" t="s">
        <v>54</v>
      </c>
      <c r="C12" s="3">
        <v>2</v>
      </c>
      <c r="D12" s="3">
        <v>1</v>
      </c>
      <c r="E12" s="3">
        <v>4</v>
      </c>
      <c r="F12" s="3">
        <v>5</v>
      </c>
      <c r="G12" s="3">
        <v>2</v>
      </c>
      <c r="H12" s="3">
        <v>5</v>
      </c>
      <c r="I12" s="3">
        <v>1</v>
      </c>
      <c r="J12" s="3">
        <v>4</v>
      </c>
      <c r="K12" s="3">
        <v>5</v>
      </c>
      <c r="L12" s="3">
        <v>8</v>
      </c>
      <c r="M12" s="3">
        <v>5</v>
      </c>
      <c r="N12" s="3">
        <v>2</v>
      </c>
      <c r="O12" s="17">
        <f t="shared" si="0"/>
        <v>44</v>
      </c>
      <c r="P12" s="18">
        <f t="shared" si="1"/>
        <v>3.6666666666666665</v>
      </c>
    </row>
    <row r="13" spans="2:16" x14ac:dyDescent="0.3">
      <c r="B13" s="13" t="s">
        <v>55</v>
      </c>
      <c r="C13" s="13">
        <v>4</v>
      </c>
      <c r="D13" s="13">
        <v>5</v>
      </c>
      <c r="E13" s="13">
        <v>14</v>
      </c>
      <c r="F13" s="13">
        <v>30</v>
      </c>
      <c r="G13" s="13">
        <v>6</v>
      </c>
      <c r="H13" s="13">
        <v>2</v>
      </c>
      <c r="I13" s="13">
        <v>74</v>
      </c>
      <c r="J13" s="13">
        <v>8</v>
      </c>
      <c r="K13" s="13">
        <v>5</v>
      </c>
      <c r="L13" s="13">
        <v>9</v>
      </c>
      <c r="M13" s="13">
        <v>5</v>
      </c>
      <c r="N13" s="13">
        <v>5</v>
      </c>
      <c r="O13" s="15">
        <f t="shared" si="0"/>
        <v>167</v>
      </c>
      <c r="P13" s="16">
        <f t="shared" si="1"/>
        <v>13.916666666666666</v>
      </c>
    </row>
    <row r="14" spans="2:16" x14ac:dyDescent="0.3">
      <c r="B14" s="3" t="s">
        <v>23</v>
      </c>
      <c r="C14" s="3">
        <v>5</v>
      </c>
      <c r="D14" s="3">
        <v>4</v>
      </c>
      <c r="E14" s="3">
        <v>5</v>
      </c>
      <c r="F14" s="3">
        <v>3</v>
      </c>
      <c r="G14" s="3">
        <v>5</v>
      </c>
      <c r="H14" s="3">
        <v>2</v>
      </c>
      <c r="I14" s="3">
        <v>5</v>
      </c>
      <c r="J14" s="3">
        <v>4</v>
      </c>
      <c r="K14" s="3">
        <v>4</v>
      </c>
      <c r="L14" s="3">
        <v>1</v>
      </c>
      <c r="M14" s="3">
        <v>10</v>
      </c>
      <c r="N14" s="3">
        <v>5</v>
      </c>
      <c r="O14" s="17">
        <f t="shared" si="0"/>
        <v>53</v>
      </c>
      <c r="P14" s="18">
        <f t="shared" si="1"/>
        <v>4.416666666666667</v>
      </c>
    </row>
    <row r="15" spans="2:16" x14ac:dyDescent="0.3">
      <c r="B15" s="13" t="s">
        <v>56</v>
      </c>
      <c r="C15" s="13">
        <v>5</v>
      </c>
      <c r="D15" s="13">
        <v>32</v>
      </c>
      <c r="E15" s="13">
        <v>5</v>
      </c>
      <c r="F15" s="13">
        <v>2</v>
      </c>
      <c r="G15" s="13">
        <v>10</v>
      </c>
      <c r="H15" s="13">
        <v>21</v>
      </c>
      <c r="I15" s="13">
        <v>3</v>
      </c>
      <c r="J15" s="13">
        <v>5</v>
      </c>
      <c r="K15" s="13">
        <v>4</v>
      </c>
      <c r="L15" s="13">
        <v>8</v>
      </c>
      <c r="M15" s="13">
        <v>5</v>
      </c>
      <c r="N15" s="13">
        <v>5</v>
      </c>
      <c r="O15" s="15">
        <f t="shared" si="0"/>
        <v>105</v>
      </c>
      <c r="P15" s="16">
        <f t="shared" si="1"/>
        <v>8.75</v>
      </c>
    </row>
    <row r="16" spans="2:16" x14ac:dyDescent="0.3">
      <c r="B16" s="3" t="s">
        <v>116</v>
      </c>
      <c r="C16" s="3">
        <v>52</v>
      </c>
      <c r="D16" s="3">
        <v>14</v>
      </c>
      <c r="E16" s="3">
        <v>2</v>
      </c>
      <c r="F16" s="3">
        <v>12</v>
      </c>
      <c r="G16" s="3">
        <v>25</v>
      </c>
      <c r="H16" s="3">
        <v>5</v>
      </c>
      <c r="I16" s="3">
        <v>2</v>
      </c>
      <c r="J16" s="3">
        <v>3</v>
      </c>
      <c r="K16" s="3">
        <v>5</v>
      </c>
      <c r="L16" s="3">
        <v>4</v>
      </c>
      <c r="M16" s="3">
        <v>2</v>
      </c>
      <c r="N16" s="3">
        <v>5</v>
      </c>
      <c r="O16" s="17">
        <f t="shared" si="0"/>
        <v>131</v>
      </c>
      <c r="P16" s="18">
        <f t="shared" si="1"/>
        <v>10.916666666666666</v>
      </c>
    </row>
    <row r="17" spans="2:16" x14ac:dyDescent="0.3">
      <c r="B17" s="13" t="s">
        <v>57</v>
      </c>
      <c r="C17" s="13">
        <v>5</v>
      </c>
      <c r="D17" s="13">
        <v>2</v>
      </c>
      <c r="E17" s="13">
        <v>4</v>
      </c>
      <c r="F17" s="13">
        <v>2</v>
      </c>
      <c r="G17" s="13">
        <v>5</v>
      </c>
      <c r="H17" s="13">
        <v>3</v>
      </c>
      <c r="I17" s="13">
        <v>5</v>
      </c>
      <c r="J17" s="13">
        <v>8</v>
      </c>
      <c r="K17" s="13">
        <v>4</v>
      </c>
      <c r="L17" s="13">
        <v>25</v>
      </c>
      <c r="M17" s="13">
        <v>5</v>
      </c>
      <c r="N17" s="13">
        <v>10</v>
      </c>
      <c r="O17" s="15">
        <f t="shared" si="0"/>
        <v>78</v>
      </c>
      <c r="P17" s="16">
        <f t="shared" si="1"/>
        <v>6.5</v>
      </c>
    </row>
    <row r="18" spans="2:16" x14ac:dyDescent="0.3">
      <c r="B18" s="3" t="s">
        <v>58</v>
      </c>
      <c r="C18" s="3">
        <v>5</v>
      </c>
      <c r="D18" s="3">
        <v>6</v>
      </c>
      <c r="E18" s="3">
        <v>4</v>
      </c>
      <c r="F18" s="3">
        <v>5</v>
      </c>
      <c r="G18" s="3">
        <v>7</v>
      </c>
      <c r="H18" s="3">
        <v>5</v>
      </c>
      <c r="I18" s="3">
        <v>5</v>
      </c>
      <c r="J18" s="3">
        <v>4</v>
      </c>
      <c r="K18" s="3">
        <v>5</v>
      </c>
      <c r="L18" s="3">
        <v>3</v>
      </c>
      <c r="M18" s="3">
        <v>5</v>
      </c>
      <c r="N18" s="3">
        <v>7</v>
      </c>
      <c r="O18" s="17">
        <f t="shared" si="0"/>
        <v>61</v>
      </c>
      <c r="P18" s="18">
        <f t="shared" si="1"/>
        <v>5.083333333333333</v>
      </c>
    </row>
    <row r="19" spans="2:16" x14ac:dyDescent="0.3">
      <c r="B19" s="13" t="s">
        <v>59</v>
      </c>
      <c r="C19" s="13">
        <v>9</v>
      </c>
      <c r="D19" s="13">
        <v>4</v>
      </c>
      <c r="E19" s="13">
        <v>7</v>
      </c>
      <c r="F19" s="13">
        <v>8</v>
      </c>
      <c r="G19" s="13">
        <v>1</v>
      </c>
      <c r="H19" s="13">
        <v>4</v>
      </c>
      <c r="I19" s="13">
        <v>5</v>
      </c>
      <c r="J19" s="13">
        <v>8</v>
      </c>
      <c r="K19" s="13">
        <v>7</v>
      </c>
      <c r="L19" s="13">
        <v>9</v>
      </c>
      <c r="M19" s="13">
        <v>23</v>
      </c>
      <c r="N19" s="13">
        <v>9</v>
      </c>
      <c r="O19" s="15">
        <f t="shared" si="0"/>
        <v>94</v>
      </c>
      <c r="P19" s="16">
        <f t="shared" si="1"/>
        <v>7.833333333333333</v>
      </c>
    </row>
    <row r="20" spans="2:16" x14ac:dyDescent="0.3">
      <c r="B20" s="3" t="s">
        <v>16</v>
      </c>
      <c r="C20" s="3">
        <v>5</v>
      </c>
      <c r="D20" s="3">
        <v>1</v>
      </c>
      <c r="E20" s="3">
        <v>4</v>
      </c>
      <c r="F20" s="3">
        <v>5</v>
      </c>
      <c r="G20" s="3">
        <v>5</v>
      </c>
      <c r="H20" s="3">
        <v>4</v>
      </c>
      <c r="I20" s="3">
        <v>5</v>
      </c>
      <c r="J20" s="3">
        <v>10</v>
      </c>
      <c r="K20" s="3">
        <v>18</v>
      </c>
      <c r="L20" s="3">
        <v>8</v>
      </c>
      <c r="M20" s="3">
        <v>5</v>
      </c>
      <c r="N20" s="3">
        <v>5</v>
      </c>
      <c r="O20" s="17">
        <f t="shared" si="0"/>
        <v>75</v>
      </c>
      <c r="P20" s="18">
        <f t="shared" si="1"/>
        <v>6.25</v>
      </c>
    </row>
    <row r="21" spans="2:16" x14ac:dyDescent="0.3">
      <c r="B21" s="13" t="s">
        <v>61</v>
      </c>
      <c r="C21" s="13">
        <v>5</v>
      </c>
      <c r="D21" s="13">
        <v>25</v>
      </c>
      <c r="E21" s="13">
        <v>4</v>
      </c>
      <c r="F21" s="13">
        <v>5</v>
      </c>
      <c r="G21" s="13">
        <v>8</v>
      </c>
      <c r="H21" s="13">
        <v>22</v>
      </c>
      <c r="I21" s="13">
        <v>2</v>
      </c>
      <c r="J21" s="13">
        <v>5</v>
      </c>
      <c r="K21" s="13">
        <v>13</v>
      </c>
      <c r="L21" s="13">
        <v>4</v>
      </c>
      <c r="M21" s="13">
        <v>5</v>
      </c>
      <c r="N21" s="13">
        <v>8</v>
      </c>
      <c r="O21" s="15">
        <f t="shared" si="0"/>
        <v>106</v>
      </c>
      <c r="P21" s="16">
        <f t="shared" si="1"/>
        <v>8.8333333333333339</v>
      </c>
    </row>
    <row r="22" spans="2:16" x14ac:dyDescent="0.3">
      <c r="B22" s="3" t="s">
        <v>117</v>
      </c>
      <c r="C22" s="3">
        <v>21</v>
      </c>
      <c r="D22" s="3">
        <v>5</v>
      </c>
      <c r="E22" s="3">
        <v>8</v>
      </c>
      <c r="F22" s="3">
        <v>25</v>
      </c>
      <c r="G22" s="3">
        <v>7</v>
      </c>
      <c r="H22" s="3">
        <v>5</v>
      </c>
      <c r="I22" s="3">
        <v>10</v>
      </c>
      <c r="J22" s="3">
        <v>8</v>
      </c>
      <c r="K22" s="3">
        <v>2</v>
      </c>
      <c r="L22" s="3">
        <v>8</v>
      </c>
      <c r="M22" s="3">
        <v>5</v>
      </c>
      <c r="N22" s="3">
        <v>9</v>
      </c>
      <c r="O22" s="17">
        <f t="shared" si="0"/>
        <v>113</v>
      </c>
      <c r="P22" s="18">
        <f t="shared" si="1"/>
        <v>9.4166666666666661</v>
      </c>
    </row>
    <row r="23" spans="2:16" x14ac:dyDescent="0.3">
      <c r="B23" s="13" t="s">
        <v>20</v>
      </c>
      <c r="C23" s="13">
        <v>4</v>
      </c>
      <c r="D23" s="13">
        <v>5</v>
      </c>
      <c r="E23" s="13">
        <v>2</v>
      </c>
      <c r="F23" s="13">
        <v>2</v>
      </c>
      <c r="G23" s="13">
        <v>5</v>
      </c>
      <c r="H23" s="13">
        <v>5</v>
      </c>
      <c r="I23" s="13">
        <v>6</v>
      </c>
      <c r="J23" s="13">
        <v>7</v>
      </c>
      <c r="K23" s="13">
        <v>2</v>
      </c>
      <c r="L23" s="13">
        <v>4</v>
      </c>
      <c r="M23" s="13">
        <v>4</v>
      </c>
      <c r="N23" s="13">
        <v>1</v>
      </c>
      <c r="O23" s="15">
        <f t="shared" si="0"/>
        <v>47</v>
      </c>
      <c r="P23" s="16">
        <f t="shared" si="1"/>
        <v>3.9166666666666665</v>
      </c>
    </row>
    <row r="24" spans="2:16" x14ac:dyDescent="0.3">
      <c r="B24" s="3" t="s">
        <v>21</v>
      </c>
      <c r="C24" s="3">
        <v>9</v>
      </c>
      <c r="D24" s="3">
        <v>7</v>
      </c>
      <c r="E24" s="3">
        <v>5</v>
      </c>
      <c r="F24" s="3">
        <v>14</v>
      </c>
      <c r="G24" s="3">
        <v>7</v>
      </c>
      <c r="H24" s="3">
        <v>5</v>
      </c>
      <c r="I24" s="3">
        <v>1</v>
      </c>
      <c r="J24" s="3">
        <v>4</v>
      </c>
      <c r="K24" s="3">
        <v>5</v>
      </c>
      <c r="L24" s="3">
        <v>14</v>
      </c>
      <c r="M24" s="3">
        <v>15</v>
      </c>
      <c r="N24" s="3">
        <v>6</v>
      </c>
      <c r="O24" s="17">
        <f t="shared" si="0"/>
        <v>92</v>
      </c>
      <c r="P24" s="18">
        <f t="shared" si="1"/>
        <v>7.666666666666667</v>
      </c>
    </row>
    <row r="25" spans="2:16" x14ac:dyDescent="0.3">
      <c r="B25" s="13" t="s">
        <v>22</v>
      </c>
      <c r="C25" s="13">
        <v>5</v>
      </c>
      <c r="D25" s="13">
        <v>5</v>
      </c>
      <c r="E25" s="13">
        <v>5</v>
      </c>
      <c r="F25" s="13">
        <v>10</v>
      </c>
      <c r="G25" s="13">
        <v>5</v>
      </c>
      <c r="H25" s="13">
        <v>2</v>
      </c>
      <c r="I25" s="13">
        <v>9</v>
      </c>
      <c r="J25" s="13">
        <v>5</v>
      </c>
      <c r="K25" s="13">
        <v>4</v>
      </c>
      <c r="L25" s="13">
        <v>5</v>
      </c>
      <c r="M25" s="13">
        <v>3</v>
      </c>
      <c r="N25" s="13">
        <v>1</v>
      </c>
      <c r="O25" s="15">
        <f t="shared" si="0"/>
        <v>59</v>
      </c>
      <c r="P25" s="16">
        <f t="shared" si="1"/>
        <v>4.916666666666667</v>
      </c>
    </row>
    <row r="26" spans="2:16" x14ac:dyDescent="0.3">
      <c r="B26" s="3" t="s">
        <v>118</v>
      </c>
      <c r="C26" s="3">
        <v>4</v>
      </c>
      <c r="D26" s="3">
        <v>4</v>
      </c>
      <c r="E26" s="3">
        <v>2</v>
      </c>
      <c r="F26" s="3">
        <v>21</v>
      </c>
      <c r="G26" s="3">
        <v>2</v>
      </c>
      <c r="H26" s="3">
        <v>1</v>
      </c>
      <c r="I26" s="3">
        <v>4</v>
      </c>
      <c r="J26" s="3">
        <v>5</v>
      </c>
      <c r="K26" s="3">
        <v>8</v>
      </c>
      <c r="L26" s="3">
        <v>7</v>
      </c>
      <c r="M26" s="3">
        <v>5</v>
      </c>
      <c r="N26" s="3">
        <v>10</v>
      </c>
      <c r="O26" s="17">
        <f t="shared" si="0"/>
        <v>73</v>
      </c>
      <c r="P26" s="18">
        <f t="shared" si="1"/>
        <v>6.083333333333333</v>
      </c>
    </row>
    <row r="27" spans="2:16" x14ac:dyDescent="0.3">
      <c r="B27" s="13" t="s">
        <v>62</v>
      </c>
      <c r="C27" s="13">
        <v>25</v>
      </c>
      <c r="D27" s="13">
        <v>2</v>
      </c>
      <c r="E27" s="13">
        <v>5</v>
      </c>
      <c r="F27" s="13">
        <v>9</v>
      </c>
      <c r="G27" s="13">
        <v>4</v>
      </c>
      <c r="H27" s="13">
        <v>52</v>
      </c>
      <c r="I27" s="13">
        <v>1</v>
      </c>
      <c r="J27" s="13">
        <v>9</v>
      </c>
      <c r="K27" s="13">
        <v>5</v>
      </c>
      <c r="L27" s="13">
        <v>5</v>
      </c>
      <c r="M27" s="13">
        <v>2</v>
      </c>
      <c r="N27" s="13">
        <v>4</v>
      </c>
      <c r="O27" s="15">
        <f t="shared" si="0"/>
        <v>123</v>
      </c>
      <c r="P27" s="16">
        <f t="shared" si="1"/>
        <v>10.25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P29"/>
  <sheetViews>
    <sheetView workbookViewId="0">
      <selection activeCell="N21" sqref="N21"/>
    </sheetView>
  </sheetViews>
  <sheetFormatPr defaultRowHeight="16.5" x14ac:dyDescent="0.3"/>
  <cols>
    <col min="1" max="1" width="3.5" customWidth="1"/>
    <col min="2" max="2" width="6.375" bestFit="1" customWidth="1"/>
    <col min="3" max="3" width="11" bestFit="1" customWidth="1"/>
    <col min="5" max="6" width="11" bestFit="1" customWidth="1"/>
    <col min="7" max="7" width="7.125" bestFit="1" customWidth="1"/>
    <col min="8" max="8" width="11" bestFit="1" customWidth="1"/>
    <col min="10" max="10" width="13" bestFit="1" customWidth="1"/>
    <col min="11" max="11" width="4.25" customWidth="1"/>
    <col min="12" max="12" width="10.875" customWidth="1"/>
    <col min="13" max="13" width="16.125" customWidth="1"/>
    <col min="14" max="14" width="9.75" bestFit="1" customWidth="1"/>
    <col min="15" max="16" width="10.875" bestFit="1" customWidth="1"/>
  </cols>
  <sheetData>
    <row r="1" spans="2:16" x14ac:dyDescent="0.3">
      <c r="B1" t="s">
        <v>34</v>
      </c>
      <c r="L1" t="s">
        <v>35</v>
      </c>
    </row>
    <row r="2" spans="2:16" x14ac:dyDescent="0.3">
      <c r="B2" s="9" t="s">
        <v>36</v>
      </c>
      <c r="C2" s="3" t="s">
        <v>32</v>
      </c>
      <c r="D2" s="3" t="s">
        <v>70</v>
      </c>
      <c r="E2" s="9" t="s">
        <v>37</v>
      </c>
      <c r="F2" s="3" t="s">
        <v>38</v>
      </c>
      <c r="G2" s="3" t="s">
        <v>39</v>
      </c>
      <c r="H2" s="3" t="s">
        <v>40</v>
      </c>
      <c r="I2" s="3" t="s">
        <v>41</v>
      </c>
      <c r="J2" s="9" t="s">
        <v>42</v>
      </c>
      <c r="L2" s="3" t="s">
        <v>32</v>
      </c>
      <c r="M2" s="3" t="s">
        <v>43</v>
      </c>
    </row>
    <row r="3" spans="2:16" x14ac:dyDescent="0.3">
      <c r="B3" s="3" t="str">
        <f>_xlfn.CONCAT(VLOOKUP(C3,$L$3:$M$5,2,0),"-",ROW()-2)</f>
        <v>SB-1</v>
      </c>
      <c r="C3" s="3" t="s">
        <v>71</v>
      </c>
      <c r="D3" s="2">
        <v>50</v>
      </c>
      <c r="E3" s="1">
        <f>INDEX($M$9:$P$11,MATCH(C3,$L$9:$L$11,0),MATCH(D3,$M$8:$P$8,1))</f>
        <v>300</v>
      </c>
      <c r="F3" s="1">
        <v>200</v>
      </c>
      <c r="G3" s="1">
        <v>5</v>
      </c>
      <c r="H3" s="1">
        <v>1</v>
      </c>
      <c r="I3" s="1">
        <v>2</v>
      </c>
      <c r="J3" s="3" cm="1">
        <f t="array" ref="J3">fn가산점(G3,H3,I3)</f>
        <v>17</v>
      </c>
      <c r="L3" s="6" t="s">
        <v>71</v>
      </c>
      <c r="M3" s="3" t="s">
        <v>44</v>
      </c>
    </row>
    <row r="4" spans="2:16" x14ac:dyDescent="0.3">
      <c r="B4" s="3" t="str">
        <f t="shared" ref="B4:B29" si="0">_xlfn.CONCAT(VLOOKUP(C4,$L$3:$M$5,2,0),"-",ROW()-2)</f>
        <v>KY-2</v>
      </c>
      <c r="C4" s="3" t="s">
        <v>33</v>
      </c>
      <c r="D4" s="2">
        <v>151</v>
      </c>
      <c r="E4" s="1">
        <f t="shared" ref="E4:E29" si="1">INDEX($M$9:$P$11,MATCH(C4,$L$9:$L$11,0),MATCH(D4,$M$8:$P$8,1))</f>
        <v>1000</v>
      </c>
      <c r="F4" s="1">
        <v>1000</v>
      </c>
      <c r="G4" s="1">
        <v>9</v>
      </c>
      <c r="H4" s="1">
        <v>5</v>
      </c>
      <c r="I4" s="1">
        <v>10</v>
      </c>
      <c r="J4" s="3" cm="1">
        <f t="array" ref="J4">fn가산점(G4,H4,I4)</f>
        <v>53</v>
      </c>
      <c r="L4" s="6" t="s">
        <v>33</v>
      </c>
      <c r="M4" s="3" t="s">
        <v>45</v>
      </c>
    </row>
    <row r="5" spans="2:16" x14ac:dyDescent="0.3">
      <c r="B5" s="3" t="str">
        <f t="shared" si="0"/>
        <v>KT-3</v>
      </c>
      <c r="C5" s="3" t="s">
        <v>69</v>
      </c>
      <c r="D5" s="2">
        <v>105</v>
      </c>
      <c r="E5" s="1">
        <f t="shared" si="1"/>
        <v>400</v>
      </c>
      <c r="F5" s="1">
        <v>1500</v>
      </c>
      <c r="G5" s="1">
        <v>8</v>
      </c>
      <c r="H5" s="1">
        <v>3</v>
      </c>
      <c r="I5" s="1">
        <v>15</v>
      </c>
      <c r="J5" s="3" cm="1">
        <f t="array" ref="J5">fn가산점(G5,H5,I5)</f>
        <v>46</v>
      </c>
      <c r="L5" s="6" t="s">
        <v>69</v>
      </c>
      <c r="M5" s="3" t="s">
        <v>46</v>
      </c>
    </row>
    <row r="6" spans="2:16" x14ac:dyDescent="0.3">
      <c r="B6" s="3" t="str">
        <f t="shared" si="0"/>
        <v>SB-4</v>
      </c>
      <c r="C6" s="3" t="s">
        <v>71</v>
      </c>
      <c r="D6" s="2">
        <v>98</v>
      </c>
      <c r="E6" s="1">
        <f t="shared" si="1"/>
        <v>600</v>
      </c>
      <c r="F6" s="1">
        <v>650</v>
      </c>
      <c r="G6" s="1">
        <v>10</v>
      </c>
      <c r="H6" s="1">
        <v>2</v>
      </c>
      <c r="I6" s="1">
        <v>5</v>
      </c>
      <c r="J6" s="3" cm="1">
        <f t="array" ref="J6">fn가산점(G6,H6,I6)</f>
        <v>35</v>
      </c>
    </row>
    <row r="7" spans="2:16" x14ac:dyDescent="0.3">
      <c r="B7" s="3" t="str">
        <f t="shared" si="0"/>
        <v>SB-5</v>
      </c>
      <c r="C7" s="3" t="s">
        <v>71</v>
      </c>
      <c r="D7" s="2">
        <v>113</v>
      </c>
      <c r="E7" s="1">
        <f t="shared" si="1"/>
        <v>1000</v>
      </c>
      <c r="F7" s="1">
        <v>800</v>
      </c>
      <c r="G7" s="1">
        <v>13</v>
      </c>
      <c r="H7" s="1">
        <v>3</v>
      </c>
      <c r="I7" s="1">
        <v>6</v>
      </c>
      <c r="J7" s="3" cm="1">
        <f t="array" ref="J7">fn가산점(G7,H7,I7)</f>
        <v>47</v>
      </c>
      <c r="L7" t="s">
        <v>47</v>
      </c>
    </row>
    <row r="8" spans="2:16" x14ac:dyDescent="0.3">
      <c r="B8" s="3" t="str">
        <f t="shared" si="0"/>
        <v>KY-6</v>
      </c>
      <c r="C8" s="3" t="s">
        <v>33</v>
      </c>
      <c r="D8" s="2">
        <v>98</v>
      </c>
      <c r="E8" s="1">
        <f t="shared" si="1"/>
        <v>400</v>
      </c>
      <c r="F8" s="1">
        <v>240</v>
      </c>
      <c r="G8" s="1">
        <v>5</v>
      </c>
      <c r="H8" s="1">
        <v>1</v>
      </c>
      <c r="I8" s="1">
        <v>2</v>
      </c>
      <c r="J8" s="3" cm="1">
        <f t="array" ref="J8">fn가산점(G8,H8,I8)</f>
        <v>17</v>
      </c>
      <c r="L8" s="3" t="s">
        <v>32</v>
      </c>
      <c r="M8" s="7">
        <v>50</v>
      </c>
      <c r="N8" s="7">
        <v>86</v>
      </c>
      <c r="O8" s="7">
        <v>103</v>
      </c>
      <c r="P8" s="7">
        <v>136</v>
      </c>
    </row>
    <row r="9" spans="2:16" x14ac:dyDescent="0.3">
      <c r="B9" s="3" t="str">
        <f t="shared" si="0"/>
        <v>KY-7</v>
      </c>
      <c r="C9" s="3" t="s">
        <v>33</v>
      </c>
      <c r="D9" s="2">
        <v>98</v>
      </c>
      <c r="E9" s="1">
        <f t="shared" si="1"/>
        <v>400</v>
      </c>
      <c r="F9" s="1">
        <v>430</v>
      </c>
      <c r="G9" s="1">
        <v>4</v>
      </c>
      <c r="H9" s="1">
        <v>2</v>
      </c>
      <c r="I9" s="1">
        <v>4</v>
      </c>
      <c r="J9" s="3" cm="1">
        <f t="array" ref="J9">fn가산점(G9,H9,I9)</f>
        <v>22</v>
      </c>
      <c r="L9" s="1" t="s">
        <v>71</v>
      </c>
      <c r="M9" s="1">
        <v>300</v>
      </c>
      <c r="N9" s="1">
        <v>600</v>
      </c>
      <c r="O9" s="1">
        <v>1000</v>
      </c>
      <c r="P9" s="1">
        <v>1500</v>
      </c>
    </row>
    <row r="10" spans="2:16" x14ac:dyDescent="0.3">
      <c r="B10" s="3" t="str">
        <f t="shared" si="0"/>
        <v>KT-8</v>
      </c>
      <c r="C10" s="3" t="s">
        <v>69</v>
      </c>
      <c r="D10" s="2">
        <v>50</v>
      </c>
      <c r="E10" s="1">
        <f t="shared" si="1"/>
        <v>200</v>
      </c>
      <c r="F10" s="1">
        <v>500</v>
      </c>
      <c r="G10" s="1">
        <v>3</v>
      </c>
      <c r="H10" s="1">
        <v>1</v>
      </c>
      <c r="I10" s="1">
        <v>5</v>
      </c>
      <c r="J10" s="3" cm="1">
        <f t="array" ref="J10">fn가산점(G10,H10,I10)</f>
        <v>16</v>
      </c>
      <c r="L10" s="1" t="s">
        <v>33</v>
      </c>
      <c r="M10" s="1">
        <v>250</v>
      </c>
      <c r="N10" s="1">
        <v>400</v>
      </c>
      <c r="O10" s="1">
        <v>700</v>
      </c>
      <c r="P10" s="1">
        <v>1000</v>
      </c>
    </row>
    <row r="11" spans="2:16" x14ac:dyDescent="0.3">
      <c r="B11" s="3" t="str">
        <f t="shared" si="0"/>
        <v>KT-9</v>
      </c>
      <c r="C11" s="3" t="s">
        <v>69</v>
      </c>
      <c r="D11" s="2">
        <v>151</v>
      </c>
      <c r="E11" s="1">
        <f t="shared" si="1"/>
        <v>500</v>
      </c>
      <c r="F11" s="1">
        <v>800</v>
      </c>
      <c r="G11" s="1">
        <v>10</v>
      </c>
      <c r="H11" s="1">
        <v>6</v>
      </c>
      <c r="I11" s="1">
        <v>6</v>
      </c>
      <c r="J11" s="3" cm="1">
        <f t="array" ref="J11">fn가산점(G11,H11,I11)</f>
        <v>56</v>
      </c>
      <c r="L11" s="1" t="s">
        <v>69</v>
      </c>
      <c r="M11" s="1">
        <v>200</v>
      </c>
      <c r="N11" s="1">
        <v>300</v>
      </c>
      <c r="O11" s="1">
        <v>400</v>
      </c>
      <c r="P11" s="1">
        <v>500</v>
      </c>
    </row>
    <row r="12" spans="2:16" x14ac:dyDescent="0.3">
      <c r="B12" s="3" t="str">
        <f t="shared" si="0"/>
        <v>KY-10</v>
      </c>
      <c r="C12" s="3" t="s">
        <v>33</v>
      </c>
      <c r="D12" s="2">
        <v>105</v>
      </c>
      <c r="E12" s="1">
        <f t="shared" si="1"/>
        <v>700</v>
      </c>
      <c r="F12" s="1">
        <v>450</v>
      </c>
      <c r="G12" s="1">
        <v>5</v>
      </c>
      <c r="H12" s="1">
        <v>4</v>
      </c>
      <c r="I12" s="1">
        <v>3</v>
      </c>
      <c r="J12" s="3" cm="1">
        <f t="array" ref="J12">fn가산점(G12,H12,I12)</f>
        <v>33</v>
      </c>
    </row>
    <row r="13" spans="2:16" x14ac:dyDescent="0.3">
      <c r="B13" s="3" t="str">
        <f t="shared" si="0"/>
        <v>KT-11</v>
      </c>
      <c r="C13" s="3" t="s">
        <v>69</v>
      </c>
      <c r="D13" s="2">
        <v>69</v>
      </c>
      <c r="E13" s="1">
        <f t="shared" si="1"/>
        <v>200</v>
      </c>
      <c r="F13" s="1">
        <v>250</v>
      </c>
      <c r="G13" s="1">
        <v>5</v>
      </c>
      <c r="H13" s="1">
        <v>2</v>
      </c>
      <c r="I13" s="1">
        <v>2</v>
      </c>
      <c r="J13" s="3" cm="1">
        <f t="array" ref="J13">fn가산점(G13,H13,I13)</f>
        <v>22</v>
      </c>
      <c r="L13" t="s">
        <v>31</v>
      </c>
    </row>
    <row r="14" spans="2:16" x14ac:dyDescent="0.3">
      <c r="B14" s="3" t="str">
        <f t="shared" si="0"/>
        <v>SB-12</v>
      </c>
      <c r="C14" s="3" t="s">
        <v>71</v>
      </c>
      <c r="D14" s="2">
        <v>98</v>
      </c>
      <c r="E14" s="1">
        <f t="shared" si="1"/>
        <v>600</v>
      </c>
      <c r="F14" s="1">
        <v>1500</v>
      </c>
      <c r="G14" s="1">
        <v>6</v>
      </c>
      <c r="H14" s="1">
        <v>3</v>
      </c>
      <c r="I14" s="1">
        <v>10</v>
      </c>
      <c r="J14" s="3" cm="1">
        <f t="array" ref="J14">fn가산점(G14,H14,I14)</f>
        <v>37</v>
      </c>
      <c r="L14" s="3" t="s">
        <v>32</v>
      </c>
      <c r="M14" s="11" t="s">
        <v>50</v>
      </c>
    </row>
    <row r="15" spans="2:16" x14ac:dyDescent="0.3">
      <c r="B15" s="3" t="str">
        <f t="shared" si="0"/>
        <v>KY-13</v>
      </c>
      <c r="C15" s="3" t="s">
        <v>33</v>
      </c>
      <c r="D15" s="2">
        <v>105</v>
      </c>
      <c r="E15" s="1">
        <f t="shared" si="1"/>
        <v>700</v>
      </c>
      <c r="F15" s="1">
        <v>500</v>
      </c>
      <c r="G15" s="1">
        <v>5</v>
      </c>
      <c r="H15" s="1">
        <v>4</v>
      </c>
      <c r="I15" s="1">
        <v>5</v>
      </c>
      <c r="J15" s="3" cm="1">
        <f t="array" ref="J15">fn가산점(G15,H15,I15)</f>
        <v>35</v>
      </c>
      <c r="L15" s="1" t="s">
        <v>71</v>
      </c>
      <c r="M15" s="1" t="str">
        <f t="array" ref="M15">REPT("■",AVERAGE(IF($C$3:$C$29=L15,$G$3:$G$29)))</f>
        <v>■■■■■■■■</v>
      </c>
    </row>
    <row r="16" spans="2:16" x14ac:dyDescent="0.3">
      <c r="B16" s="3" t="str">
        <f t="shared" si="0"/>
        <v>SB-14</v>
      </c>
      <c r="C16" s="3" t="s">
        <v>71</v>
      </c>
      <c r="D16" s="2">
        <v>108</v>
      </c>
      <c r="E16" s="1">
        <f t="shared" si="1"/>
        <v>1000</v>
      </c>
      <c r="F16" s="1">
        <v>500</v>
      </c>
      <c r="G16" s="1">
        <v>13</v>
      </c>
      <c r="H16" s="1">
        <v>5</v>
      </c>
      <c r="I16" s="1">
        <v>5</v>
      </c>
      <c r="J16" s="3" cm="1">
        <f t="array" ref="J16">fn가산점(G16,H16,I16)</f>
        <v>56</v>
      </c>
      <c r="L16" s="1" t="s">
        <v>33</v>
      </c>
      <c r="M16" s="1" t="str">
        <f t="array" ref="M16">REPT("■",AVERAGE(IF($C$3:$C$29=L16,$G$3:$G$29)))</f>
        <v>■■■■■</v>
      </c>
    </row>
    <row r="17" spans="2:14" x14ac:dyDescent="0.3">
      <c r="B17" s="3" t="str">
        <f t="shared" si="0"/>
        <v>KT-15</v>
      </c>
      <c r="C17" s="3" t="s">
        <v>69</v>
      </c>
      <c r="D17" s="2">
        <v>69</v>
      </c>
      <c r="E17" s="1">
        <f t="shared" si="1"/>
        <v>200</v>
      </c>
      <c r="F17" s="1">
        <v>300</v>
      </c>
      <c r="G17" s="1">
        <v>1</v>
      </c>
      <c r="H17" s="1">
        <v>2</v>
      </c>
      <c r="I17" s="1">
        <v>1</v>
      </c>
      <c r="J17" s="3" t="str" cm="1">
        <f t="array" ref="J17">fn가산점(G17,H17,I17)</f>
        <v>가입기간미달</v>
      </c>
      <c r="L17" s="1" t="s">
        <v>69</v>
      </c>
      <c r="M17" s="1" t="str">
        <f t="array" ref="M17">REPT("■",AVERAGE(IF($C$3:$C$29=L17,$G$3:$G$29)))</f>
        <v>■■■■■</v>
      </c>
    </row>
    <row r="18" spans="2:14" x14ac:dyDescent="0.3">
      <c r="B18" s="3" t="str">
        <f t="shared" si="0"/>
        <v>SB-16</v>
      </c>
      <c r="C18" s="3" t="s">
        <v>71</v>
      </c>
      <c r="D18" s="2">
        <v>98</v>
      </c>
      <c r="E18" s="1">
        <f t="shared" si="1"/>
        <v>600</v>
      </c>
      <c r="F18" s="1">
        <v>350</v>
      </c>
      <c r="G18" s="1">
        <v>8</v>
      </c>
      <c r="H18" s="1">
        <v>4</v>
      </c>
      <c r="I18" s="1">
        <v>2</v>
      </c>
      <c r="J18" s="3" cm="1">
        <f t="array" ref="J18">fn가산점(G18,H18,I18)</f>
        <v>38</v>
      </c>
    </row>
    <row r="19" spans="2:14" x14ac:dyDescent="0.3">
      <c r="B19" s="3" t="str">
        <f t="shared" si="0"/>
        <v>SB-17</v>
      </c>
      <c r="C19" s="3" t="s">
        <v>71</v>
      </c>
      <c r="D19" s="2">
        <v>98</v>
      </c>
      <c r="E19" s="1">
        <f t="shared" si="1"/>
        <v>600</v>
      </c>
      <c r="F19" s="1">
        <v>800</v>
      </c>
      <c r="G19" s="1">
        <v>9</v>
      </c>
      <c r="H19" s="1">
        <v>4</v>
      </c>
      <c r="I19" s="1">
        <v>7</v>
      </c>
      <c r="J19" s="3" cm="1">
        <f t="array" ref="J19">fn가산점(G19,H19,I19)</f>
        <v>45</v>
      </c>
      <c r="L19" t="s">
        <v>48</v>
      </c>
    </row>
    <row r="20" spans="2:14" x14ac:dyDescent="0.3">
      <c r="B20" s="3" t="str">
        <f t="shared" si="0"/>
        <v>KT-18</v>
      </c>
      <c r="C20" s="3" t="s">
        <v>69</v>
      </c>
      <c r="D20" s="2">
        <v>113</v>
      </c>
      <c r="E20" s="1">
        <f t="shared" si="1"/>
        <v>400</v>
      </c>
      <c r="F20" s="1">
        <v>300</v>
      </c>
      <c r="G20" s="1">
        <v>9</v>
      </c>
      <c r="H20" s="1">
        <v>3</v>
      </c>
      <c r="I20" s="1">
        <v>1</v>
      </c>
      <c r="J20" s="3" t="str" cm="1">
        <f t="array" ref="J20">fn가산점(G20,H20,I20)</f>
        <v>가입기간미달</v>
      </c>
      <c r="L20" s="21" t="s">
        <v>38</v>
      </c>
      <c r="M20" s="21"/>
      <c r="N20" s="9" t="s">
        <v>49</v>
      </c>
    </row>
    <row r="21" spans="2:14" x14ac:dyDescent="0.3">
      <c r="B21" s="3" t="str">
        <f t="shared" si="0"/>
        <v>SB-19</v>
      </c>
      <c r="C21" s="3" t="s">
        <v>71</v>
      </c>
      <c r="D21" s="2">
        <v>85</v>
      </c>
      <c r="E21" s="1">
        <f t="shared" si="1"/>
        <v>300</v>
      </c>
      <c r="F21" s="1">
        <v>600</v>
      </c>
      <c r="G21" s="1">
        <v>11</v>
      </c>
      <c r="H21" s="1">
        <v>2</v>
      </c>
      <c r="I21" s="1">
        <v>3</v>
      </c>
      <c r="J21" s="3" cm="1">
        <f t="array" ref="J21">fn가산점(G21,H21,I21)</f>
        <v>35</v>
      </c>
      <c r="L21" s="5">
        <v>0</v>
      </c>
      <c r="M21" s="3">
        <v>200</v>
      </c>
      <c r="N21" s="8">
        <f t="array" ref="N21:N25">FREQUENCY(F3:F29,M21:M25)/COUNT(F3:F29)*100</f>
        <v>3.7037037037037033</v>
      </c>
    </row>
    <row r="22" spans="2:14" x14ac:dyDescent="0.3">
      <c r="B22" s="3" t="str">
        <f t="shared" si="0"/>
        <v>KY-20</v>
      </c>
      <c r="C22" s="3" t="s">
        <v>33</v>
      </c>
      <c r="D22" s="2">
        <v>103</v>
      </c>
      <c r="E22" s="1">
        <f t="shared" si="1"/>
        <v>700</v>
      </c>
      <c r="F22" s="1">
        <v>1200</v>
      </c>
      <c r="G22" s="1">
        <v>5</v>
      </c>
      <c r="H22" s="1">
        <v>2</v>
      </c>
      <c r="I22" s="1">
        <v>10</v>
      </c>
      <c r="J22" s="3" cm="1">
        <f t="array" ref="J22">fn가산점(G22,H22,I22)</f>
        <v>30</v>
      </c>
      <c r="L22" s="5">
        <v>201</v>
      </c>
      <c r="M22" s="3">
        <v>400</v>
      </c>
      <c r="N22" s="8">
        <v>22.222222222222221</v>
      </c>
    </row>
    <row r="23" spans="2:14" x14ac:dyDescent="0.3">
      <c r="B23" s="3" t="str">
        <f t="shared" si="0"/>
        <v>KT-21</v>
      </c>
      <c r="C23" s="3" t="s">
        <v>69</v>
      </c>
      <c r="D23" s="2">
        <v>136</v>
      </c>
      <c r="E23" s="1">
        <f t="shared" si="1"/>
        <v>500</v>
      </c>
      <c r="F23" s="1">
        <v>3500</v>
      </c>
      <c r="G23" s="1">
        <v>10</v>
      </c>
      <c r="H23" s="1">
        <v>4</v>
      </c>
      <c r="I23" s="1">
        <v>10</v>
      </c>
      <c r="J23" s="3" cm="1">
        <f t="array" ref="J23">fn가산점(G23,H23,I23)</f>
        <v>50</v>
      </c>
      <c r="L23" s="5">
        <v>401</v>
      </c>
      <c r="M23" s="3">
        <v>600</v>
      </c>
      <c r="N23" s="8">
        <v>29.629629629629626</v>
      </c>
    </row>
    <row r="24" spans="2:14" x14ac:dyDescent="0.3">
      <c r="B24" s="3" t="str">
        <f t="shared" si="0"/>
        <v>SB-22</v>
      </c>
      <c r="C24" s="3" t="s">
        <v>71</v>
      </c>
      <c r="D24" s="2">
        <v>59</v>
      </c>
      <c r="E24" s="1">
        <f t="shared" si="1"/>
        <v>300</v>
      </c>
      <c r="F24" s="1">
        <v>1000</v>
      </c>
      <c r="G24" s="1">
        <v>5</v>
      </c>
      <c r="H24" s="1">
        <v>2</v>
      </c>
      <c r="I24" s="1">
        <v>5</v>
      </c>
      <c r="J24" s="3" cm="1">
        <f t="array" ref="J24">fn가산점(G24,H24,I24)</f>
        <v>25</v>
      </c>
      <c r="L24" s="5">
        <v>601</v>
      </c>
      <c r="M24" s="3">
        <v>1000</v>
      </c>
      <c r="N24" s="8">
        <v>29.629629629629626</v>
      </c>
    </row>
    <row r="25" spans="2:14" x14ac:dyDescent="0.3">
      <c r="B25" s="3" t="str">
        <f t="shared" si="0"/>
        <v>KY-23</v>
      </c>
      <c r="C25" s="3" t="s">
        <v>33</v>
      </c>
      <c r="D25" s="2">
        <v>111</v>
      </c>
      <c r="E25" s="1">
        <f t="shared" si="1"/>
        <v>700</v>
      </c>
      <c r="F25" s="1">
        <v>1000</v>
      </c>
      <c r="G25" s="1">
        <v>3</v>
      </c>
      <c r="H25" s="1">
        <v>3</v>
      </c>
      <c r="I25" s="1">
        <v>5</v>
      </c>
      <c r="J25" s="3" cm="1">
        <f t="array" ref="J25">fn가산점(G25,H25,I25)</f>
        <v>26</v>
      </c>
      <c r="L25" s="5">
        <v>1001</v>
      </c>
      <c r="M25" s="3">
        <v>3000</v>
      </c>
      <c r="N25" s="8">
        <v>11.111111111111111</v>
      </c>
    </row>
    <row r="26" spans="2:14" x14ac:dyDescent="0.3">
      <c r="B26" s="3" t="str">
        <f t="shared" si="0"/>
        <v>KT-24</v>
      </c>
      <c r="C26" s="3" t="s">
        <v>69</v>
      </c>
      <c r="D26" s="2">
        <v>115</v>
      </c>
      <c r="E26" s="1">
        <f t="shared" si="1"/>
        <v>400</v>
      </c>
      <c r="F26" s="1">
        <v>800</v>
      </c>
      <c r="G26" s="1">
        <v>1</v>
      </c>
      <c r="H26" s="1">
        <v>2</v>
      </c>
      <c r="I26" s="1">
        <v>7</v>
      </c>
      <c r="J26" s="3" cm="1">
        <f t="array" ref="J26">fn가산점(G26,H26,I26)</f>
        <v>19</v>
      </c>
    </row>
    <row r="27" spans="2:14" x14ac:dyDescent="0.3">
      <c r="B27" s="3" t="str">
        <f t="shared" si="0"/>
        <v>SB-25</v>
      </c>
      <c r="C27" s="3" t="s">
        <v>71</v>
      </c>
      <c r="D27" s="2">
        <v>60</v>
      </c>
      <c r="E27" s="1">
        <f t="shared" si="1"/>
        <v>300</v>
      </c>
      <c r="F27" s="1">
        <v>500</v>
      </c>
      <c r="G27" s="1">
        <v>9</v>
      </c>
      <c r="H27" s="1">
        <v>1</v>
      </c>
      <c r="I27" s="1">
        <v>4</v>
      </c>
      <c r="J27" s="3" cm="1">
        <f t="array" ref="J27">fn가산점(G27,H27,I27)</f>
        <v>27</v>
      </c>
    </row>
    <row r="28" spans="2:14" x14ac:dyDescent="0.3">
      <c r="B28" s="3" t="str">
        <f t="shared" si="0"/>
        <v>KY-26</v>
      </c>
      <c r="C28" s="3" t="s">
        <v>33</v>
      </c>
      <c r="D28" s="2">
        <v>69</v>
      </c>
      <c r="E28" s="1">
        <f t="shared" si="1"/>
        <v>250</v>
      </c>
      <c r="F28" s="1">
        <v>400</v>
      </c>
      <c r="G28" s="1">
        <v>7</v>
      </c>
      <c r="H28" s="1">
        <v>2</v>
      </c>
      <c r="I28" s="1">
        <v>3</v>
      </c>
      <c r="J28" s="3" cm="1">
        <f t="array" ref="J28">fn가산점(G28,H28,I28)</f>
        <v>27</v>
      </c>
    </row>
    <row r="29" spans="2:14" x14ac:dyDescent="0.3">
      <c r="B29" s="3" t="str">
        <f t="shared" si="0"/>
        <v>KY-27</v>
      </c>
      <c r="C29" s="3" t="s">
        <v>33</v>
      </c>
      <c r="D29" s="2">
        <v>105</v>
      </c>
      <c r="E29" s="1">
        <f t="shared" si="1"/>
        <v>700</v>
      </c>
      <c r="F29" s="1">
        <v>500</v>
      </c>
      <c r="G29" s="1">
        <v>9</v>
      </c>
      <c r="H29" s="1">
        <v>3</v>
      </c>
      <c r="I29" s="1">
        <v>4</v>
      </c>
      <c r="J29" s="3" cm="1">
        <f t="array" ref="J29">fn가산점(G29,H29,I29)</f>
        <v>37</v>
      </c>
    </row>
  </sheetData>
  <mergeCells count="1">
    <mergeCell ref="L20:M20"/>
  </mergeCells>
  <phoneticPr fontId="2" type="noConversion"/>
  <pageMargins left="0.7" right="0.7" top="0.75" bottom="0.75" header="0.3" footer="0.3"/>
  <pageSetup paperSize="9" orientation="portrait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H17"/>
  <sheetViews>
    <sheetView workbookViewId="0">
      <selection activeCell="B19" sqref="B19"/>
    </sheetView>
  </sheetViews>
  <sheetFormatPr defaultRowHeight="16.5" x14ac:dyDescent="0.3"/>
  <cols>
    <col min="2" max="2" width="17.375" bestFit="1" customWidth="1"/>
    <col min="3" max="3" width="11" customWidth="1"/>
    <col min="4" max="6" width="11.5" bestFit="1" customWidth="1"/>
    <col min="7" max="7" width="11.5" customWidth="1"/>
    <col min="8" max="8" width="8.5" customWidth="1"/>
  </cols>
  <sheetData>
    <row r="2" spans="2:8" x14ac:dyDescent="0.3">
      <c r="B2" s="19" t="s">
        <v>123</v>
      </c>
      <c r="D2" s="19" t="s">
        <v>70</v>
      </c>
    </row>
    <row r="3" spans="2:8" x14ac:dyDescent="0.3">
      <c r="B3" s="19" t="s">
        <v>125</v>
      </c>
      <c r="C3" s="19" t="s">
        <v>72</v>
      </c>
      <c r="D3" t="s">
        <v>74</v>
      </c>
      <c r="E3" t="s">
        <v>77</v>
      </c>
      <c r="F3" t="s">
        <v>75</v>
      </c>
      <c r="G3" t="s">
        <v>83</v>
      </c>
      <c r="H3" t="s">
        <v>122</v>
      </c>
    </row>
    <row r="4" spans="2:8" x14ac:dyDescent="0.3">
      <c r="B4" t="s">
        <v>69</v>
      </c>
      <c r="D4" s="20">
        <v>850</v>
      </c>
      <c r="E4" s="20">
        <v>800</v>
      </c>
      <c r="F4" s="20">
        <v>3000</v>
      </c>
      <c r="G4" s="20"/>
      <c r="H4" s="20">
        <v>4650</v>
      </c>
    </row>
    <row r="5" spans="2:8" x14ac:dyDescent="0.3">
      <c r="C5" t="s">
        <v>81</v>
      </c>
      <c r="D5" s="20">
        <v>200</v>
      </c>
      <c r="E5" s="20"/>
      <c r="F5" s="20">
        <v>500</v>
      </c>
      <c r="G5" s="20"/>
      <c r="H5" s="20">
        <v>700</v>
      </c>
    </row>
    <row r="6" spans="2:8" x14ac:dyDescent="0.3">
      <c r="C6" t="s">
        <v>79</v>
      </c>
      <c r="D6" s="20">
        <v>100</v>
      </c>
      <c r="E6" s="20">
        <v>250</v>
      </c>
      <c r="F6" s="20"/>
      <c r="G6" s="20"/>
      <c r="H6" s="20">
        <v>350</v>
      </c>
    </row>
    <row r="7" spans="2:8" x14ac:dyDescent="0.3">
      <c r="C7" t="s">
        <v>82</v>
      </c>
      <c r="D7" s="20"/>
      <c r="E7" s="20"/>
      <c r="F7" s="20">
        <v>500</v>
      </c>
      <c r="G7" s="20"/>
      <c r="H7" s="20">
        <v>500</v>
      </c>
    </row>
    <row r="8" spans="2:8" x14ac:dyDescent="0.3">
      <c r="C8" t="s">
        <v>76</v>
      </c>
      <c r="D8" s="20">
        <v>250</v>
      </c>
      <c r="E8" s="20">
        <v>250</v>
      </c>
      <c r="F8" s="20">
        <v>800</v>
      </c>
      <c r="G8" s="20"/>
      <c r="H8" s="20">
        <v>1300</v>
      </c>
    </row>
    <row r="9" spans="2:8" x14ac:dyDescent="0.3">
      <c r="C9" t="s">
        <v>124</v>
      </c>
      <c r="D9" s="20">
        <v>300</v>
      </c>
      <c r="E9" s="20">
        <v>300</v>
      </c>
      <c r="F9" s="20">
        <v>1200</v>
      </c>
      <c r="G9" s="20"/>
      <c r="H9" s="20">
        <v>1800</v>
      </c>
    </row>
    <row r="10" spans="2:8" x14ac:dyDescent="0.3">
      <c r="B10" t="s">
        <v>126</v>
      </c>
      <c r="D10" s="20">
        <v>1400</v>
      </c>
      <c r="E10" s="20">
        <v>800</v>
      </c>
      <c r="F10" s="20">
        <v>2700</v>
      </c>
      <c r="G10" s="20">
        <v>2000</v>
      </c>
      <c r="H10" s="20">
        <v>6900</v>
      </c>
    </row>
    <row r="11" spans="2:8" x14ac:dyDescent="0.3">
      <c r="C11" t="s">
        <v>78</v>
      </c>
      <c r="D11" s="20">
        <v>750</v>
      </c>
      <c r="E11" s="20"/>
      <c r="F11" s="20">
        <v>800</v>
      </c>
      <c r="G11" s="20"/>
      <c r="H11" s="20">
        <v>1550</v>
      </c>
    </row>
    <row r="12" spans="2:8" x14ac:dyDescent="0.3">
      <c r="C12" t="s">
        <v>80</v>
      </c>
      <c r="D12" s="20"/>
      <c r="E12" s="20"/>
      <c r="F12" s="20">
        <v>1300</v>
      </c>
      <c r="G12" s="20"/>
      <c r="H12" s="20">
        <v>1300</v>
      </c>
    </row>
    <row r="13" spans="2:8" x14ac:dyDescent="0.3">
      <c r="C13" t="s">
        <v>73</v>
      </c>
      <c r="D13" s="20">
        <v>650</v>
      </c>
      <c r="E13" s="20">
        <v>800</v>
      </c>
      <c r="F13" s="20">
        <v>600</v>
      </c>
      <c r="G13" s="20">
        <v>2000</v>
      </c>
      <c r="H13" s="20">
        <v>4050</v>
      </c>
    </row>
    <row r="14" spans="2:8" x14ac:dyDescent="0.3">
      <c r="B14" t="s">
        <v>71</v>
      </c>
      <c r="D14" s="20">
        <v>350</v>
      </c>
      <c r="E14" s="20">
        <v>1250</v>
      </c>
      <c r="F14" s="20">
        <v>1500</v>
      </c>
      <c r="G14" s="20"/>
      <c r="H14" s="20">
        <v>3100</v>
      </c>
    </row>
    <row r="15" spans="2:8" x14ac:dyDescent="0.3">
      <c r="C15" t="s">
        <v>115</v>
      </c>
      <c r="D15" s="20"/>
      <c r="E15" s="20">
        <v>750</v>
      </c>
      <c r="F15" s="20"/>
      <c r="G15" s="20"/>
      <c r="H15" s="20">
        <v>750</v>
      </c>
    </row>
    <row r="16" spans="2:8" x14ac:dyDescent="0.3">
      <c r="C16" t="s">
        <v>84</v>
      </c>
      <c r="D16" s="20">
        <v>350</v>
      </c>
      <c r="E16" s="20">
        <v>500</v>
      </c>
      <c r="F16" s="20">
        <v>1500</v>
      </c>
      <c r="G16" s="20"/>
      <c r="H16" s="20">
        <v>2350</v>
      </c>
    </row>
    <row r="17" spans="2:8" x14ac:dyDescent="0.3">
      <c r="B17" t="s">
        <v>122</v>
      </c>
      <c r="D17" s="20">
        <v>2600</v>
      </c>
      <c r="E17" s="20">
        <v>2850</v>
      </c>
      <c r="F17" s="20">
        <v>7200</v>
      </c>
      <c r="G17" s="20">
        <v>2000</v>
      </c>
      <c r="H17" s="20">
        <v>14650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B2:N28"/>
  <sheetViews>
    <sheetView tabSelected="1" workbookViewId="0">
      <selection activeCell="K23" sqref="K23"/>
    </sheetView>
  </sheetViews>
  <sheetFormatPr defaultRowHeight="16.5" x14ac:dyDescent="0.3"/>
  <cols>
    <col min="1" max="1" width="2.75" customWidth="1"/>
    <col min="3" max="14" width="6.625" customWidth="1"/>
  </cols>
  <sheetData>
    <row r="2" spans="2:14" x14ac:dyDescent="0.3">
      <c r="B2" t="s">
        <v>0</v>
      </c>
    </row>
    <row r="3" spans="2:14" x14ac:dyDescent="0.3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3" t="s">
        <v>14</v>
      </c>
    </row>
    <row r="4" spans="2:14" hidden="1" x14ac:dyDescent="0.3">
      <c r="B4" s="3" t="s">
        <v>63</v>
      </c>
      <c r="C4" s="3">
        <v>2</v>
      </c>
      <c r="D4" s="3">
        <v>5</v>
      </c>
      <c r="E4" s="3">
        <v>10</v>
      </c>
      <c r="F4" s="3">
        <v>8</v>
      </c>
      <c r="G4" s="3">
        <v>2</v>
      </c>
      <c r="H4" s="3">
        <v>8</v>
      </c>
      <c r="I4" s="3">
        <v>5</v>
      </c>
      <c r="J4" s="3">
        <v>9</v>
      </c>
      <c r="K4" s="3">
        <v>5</v>
      </c>
      <c r="L4" s="3">
        <v>5</v>
      </c>
      <c r="M4" s="3">
        <v>2</v>
      </c>
      <c r="N4" s="3">
        <v>17</v>
      </c>
    </row>
    <row r="5" spans="2:14" hidden="1" x14ac:dyDescent="0.3">
      <c r="B5" s="3" t="s">
        <v>64</v>
      </c>
      <c r="C5" s="3">
        <v>6</v>
      </c>
      <c r="D5" s="3">
        <v>30</v>
      </c>
      <c r="E5" s="3">
        <v>6</v>
      </c>
      <c r="F5" s="3">
        <v>7</v>
      </c>
      <c r="G5" s="3">
        <v>2</v>
      </c>
      <c r="H5" s="3">
        <v>4</v>
      </c>
      <c r="I5" s="3">
        <v>4</v>
      </c>
      <c r="J5" s="3">
        <v>1</v>
      </c>
      <c r="K5" s="3">
        <v>12</v>
      </c>
      <c r="L5" s="3">
        <v>5</v>
      </c>
      <c r="M5" s="3">
        <v>4</v>
      </c>
      <c r="N5" s="3">
        <v>1</v>
      </c>
    </row>
    <row r="6" spans="2:14" hidden="1" x14ac:dyDescent="0.3">
      <c r="B6" s="3" t="s">
        <v>65</v>
      </c>
      <c r="C6" s="3">
        <v>4</v>
      </c>
      <c r="D6" s="3">
        <v>1</v>
      </c>
      <c r="E6" s="3">
        <v>5</v>
      </c>
      <c r="F6" s="3">
        <v>7</v>
      </c>
      <c r="G6" s="3">
        <v>20</v>
      </c>
      <c r="H6" s="3">
        <v>7</v>
      </c>
      <c r="I6" s="3">
        <v>19</v>
      </c>
      <c r="J6" s="3">
        <v>1</v>
      </c>
      <c r="K6" s="3">
        <v>5</v>
      </c>
      <c r="L6" s="3">
        <v>8</v>
      </c>
      <c r="M6" s="3">
        <v>4</v>
      </c>
      <c r="N6" s="3">
        <v>1</v>
      </c>
    </row>
    <row r="7" spans="2:14" hidden="1" x14ac:dyDescent="0.3">
      <c r="B7" s="3" t="s">
        <v>66</v>
      </c>
      <c r="C7" s="3">
        <v>5</v>
      </c>
      <c r="D7" s="3">
        <v>4</v>
      </c>
      <c r="E7" s="3">
        <v>5</v>
      </c>
      <c r="F7" s="3">
        <v>3</v>
      </c>
      <c r="G7" s="3">
        <v>1</v>
      </c>
      <c r="H7" s="3">
        <v>5</v>
      </c>
      <c r="I7" s="3">
        <v>7</v>
      </c>
      <c r="J7" s="3">
        <v>2</v>
      </c>
      <c r="K7" s="3">
        <v>7</v>
      </c>
      <c r="L7" s="3">
        <v>8</v>
      </c>
      <c r="M7" s="3">
        <v>21</v>
      </c>
      <c r="N7" s="3">
        <v>5</v>
      </c>
    </row>
    <row r="8" spans="2:14" hidden="1" x14ac:dyDescent="0.3">
      <c r="B8" s="3" t="s">
        <v>67</v>
      </c>
      <c r="C8" s="3">
        <v>5</v>
      </c>
      <c r="D8" s="3">
        <v>8</v>
      </c>
      <c r="E8" s="3">
        <v>7</v>
      </c>
      <c r="F8" s="3">
        <v>12</v>
      </c>
      <c r="G8" s="3">
        <v>5</v>
      </c>
      <c r="H8" s="3">
        <v>5</v>
      </c>
      <c r="I8" s="3">
        <v>2</v>
      </c>
      <c r="J8" s="3">
        <v>2</v>
      </c>
      <c r="K8" s="3">
        <v>7</v>
      </c>
      <c r="L8" s="3">
        <v>7</v>
      </c>
      <c r="M8" s="3">
        <v>8</v>
      </c>
      <c r="N8" s="3">
        <v>9</v>
      </c>
    </row>
    <row r="9" spans="2:14" hidden="1" x14ac:dyDescent="0.3">
      <c r="B9" s="3" t="s">
        <v>51</v>
      </c>
      <c r="C9" s="3">
        <v>10</v>
      </c>
      <c r="D9" s="3">
        <v>5</v>
      </c>
      <c r="E9" s="3">
        <v>2</v>
      </c>
      <c r="F9" s="3">
        <v>5</v>
      </c>
      <c r="G9" s="3">
        <v>12</v>
      </c>
      <c r="H9" s="3">
        <v>16</v>
      </c>
      <c r="I9" s="3">
        <v>2</v>
      </c>
      <c r="J9" s="3">
        <v>5</v>
      </c>
      <c r="K9" s="3">
        <v>16</v>
      </c>
      <c r="L9" s="3">
        <v>2</v>
      </c>
      <c r="M9" s="3">
        <v>5</v>
      </c>
      <c r="N9" s="3">
        <v>36</v>
      </c>
    </row>
    <row r="10" spans="2:14" hidden="1" x14ac:dyDescent="0.3">
      <c r="B10" s="3" t="s">
        <v>52</v>
      </c>
      <c r="C10" s="3">
        <v>10</v>
      </c>
      <c r="D10" s="3">
        <v>2</v>
      </c>
      <c r="E10" s="3">
        <v>5</v>
      </c>
      <c r="F10" s="3">
        <v>2</v>
      </c>
      <c r="G10" s="3">
        <v>6</v>
      </c>
      <c r="H10" s="3">
        <v>7</v>
      </c>
      <c r="I10" s="3">
        <v>5</v>
      </c>
      <c r="J10" s="3">
        <v>2</v>
      </c>
      <c r="K10" s="3">
        <v>6</v>
      </c>
      <c r="L10" s="3">
        <v>5</v>
      </c>
      <c r="M10" s="3">
        <v>2</v>
      </c>
      <c r="N10" s="3">
        <v>6</v>
      </c>
    </row>
    <row r="11" spans="2:14" hidden="1" x14ac:dyDescent="0.3">
      <c r="B11" s="3" t="s">
        <v>53</v>
      </c>
      <c r="C11" s="3">
        <v>5</v>
      </c>
      <c r="D11" s="3">
        <v>5</v>
      </c>
      <c r="E11" s="3">
        <v>2</v>
      </c>
      <c r="F11" s="3">
        <v>6</v>
      </c>
      <c r="G11" s="3">
        <v>8</v>
      </c>
      <c r="H11" s="3">
        <v>7</v>
      </c>
      <c r="I11" s="3">
        <v>1</v>
      </c>
      <c r="J11" s="3">
        <v>52</v>
      </c>
      <c r="K11" s="3">
        <v>5</v>
      </c>
      <c r="L11" s="3">
        <v>5</v>
      </c>
      <c r="M11" s="3">
        <v>1</v>
      </c>
      <c r="N11" s="3">
        <v>5</v>
      </c>
    </row>
    <row r="12" spans="2:14" x14ac:dyDescent="0.3">
      <c r="B12" s="3" t="s">
        <v>68</v>
      </c>
      <c r="C12" s="3">
        <v>52</v>
      </c>
      <c r="D12" s="3">
        <v>5</v>
      </c>
      <c r="E12" s="3">
        <v>4</v>
      </c>
      <c r="F12" s="3">
        <v>5</v>
      </c>
      <c r="G12" s="3">
        <v>2</v>
      </c>
      <c r="H12" s="3">
        <v>7</v>
      </c>
      <c r="I12" s="3">
        <v>5</v>
      </c>
      <c r="J12" s="3">
        <v>18</v>
      </c>
      <c r="K12" s="3">
        <v>5</v>
      </c>
      <c r="L12" s="3">
        <v>5</v>
      </c>
      <c r="M12" s="3">
        <v>4</v>
      </c>
      <c r="N12" s="3">
        <v>25</v>
      </c>
    </row>
    <row r="13" spans="2:14" hidden="1" x14ac:dyDescent="0.3">
      <c r="B13" s="3" t="s">
        <v>19</v>
      </c>
      <c r="C13" s="3">
        <v>2</v>
      </c>
      <c r="D13" s="3">
        <v>1</v>
      </c>
      <c r="E13" s="3">
        <v>4</v>
      </c>
      <c r="F13" s="3">
        <v>5</v>
      </c>
      <c r="G13" s="3">
        <v>2</v>
      </c>
      <c r="H13" s="3">
        <v>5</v>
      </c>
      <c r="I13" s="3">
        <v>1</v>
      </c>
      <c r="J13" s="3">
        <v>4</v>
      </c>
      <c r="K13" s="3">
        <v>5</v>
      </c>
      <c r="L13" s="3">
        <v>8</v>
      </c>
      <c r="M13" s="3">
        <v>5</v>
      </c>
      <c r="N13" s="3">
        <v>2</v>
      </c>
    </row>
    <row r="14" spans="2:14" hidden="1" x14ac:dyDescent="0.3">
      <c r="B14" s="3" t="s">
        <v>55</v>
      </c>
      <c r="C14" s="3">
        <v>4</v>
      </c>
      <c r="D14" s="3">
        <v>5</v>
      </c>
      <c r="E14" s="3">
        <v>14</v>
      </c>
      <c r="F14" s="3">
        <v>30</v>
      </c>
      <c r="G14" s="3">
        <v>6</v>
      </c>
      <c r="H14" s="3">
        <v>2</v>
      </c>
      <c r="I14" s="3">
        <v>74</v>
      </c>
      <c r="J14" s="3">
        <v>8</v>
      </c>
      <c r="K14" s="3">
        <v>5</v>
      </c>
      <c r="L14" s="3">
        <v>9</v>
      </c>
      <c r="M14" s="3">
        <v>5</v>
      </c>
      <c r="N14" s="3">
        <v>5</v>
      </c>
    </row>
    <row r="15" spans="2:14" hidden="1" x14ac:dyDescent="0.3">
      <c r="B15" s="3" t="s">
        <v>23</v>
      </c>
      <c r="C15" s="3">
        <v>5</v>
      </c>
      <c r="D15" s="3">
        <v>4</v>
      </c>
      <c r="E15" s="3">
        <v>5</v>
      </c>
      <c r="F15" s="3">
        <v>3</v>
      </c>
      <c r="G15" s="3">
        <v>5</v>
      </c>
      <c r="H15" s="3">
        <v>2</v>
      </c>
      <c r="I15" s="3">
        <v>5</v>
      </c>
      <c r="J15" s="3">
        <v>4</v>
      </c>
      <c r="K15" s="3">
        <v>4</v>
      </c>
      <c r="L15" s="3">
        <v>1</v>
      </c>
      <c r="M15" s="3">
        <v>10</v>
      </c>
      <c r="N15" s="3">
        <v>5</v>
      </c>
    </row>
    <row r="16" spans="2:14" hidden="1" x14ac:dyDescent="0.3">
      <c r="B16" s="3" t="s">
        <v>56</v>
      </c>
      <c r="C16" s="3">
        <v>5</v>
      </c>
      <c r="D16" s="3">
        <v>32</v>
      </c>
      <c r="E16" s="3">
        <v>5</v>
      </c>
      <c r="F16" s="3">
        <v>2</v>
      </c>
      <c r="G16" s="3">
        <v>10</v>
      </c>
      <c r="H16" s="3">
        <v>21</v>
      </c>
      <c r="I16" s="3">
        <v>3</v>
      </c>
      <c r="J16" s="3">
        <v>5</v>
      </c>
      <c r="K16" s="3">
        <v>4</v>
      </c>
      <c r="L16" s="3">
        <v>8</v>
      </c>
      <c r="M16" s="3">
        <v>5</v>
      </c>
      <c r="N16" s="3">
        <v>5</v>
      </c>
    </row>
    <row r="17" spans="2:14" x14ac:dyDescent="0.3">
      <c r="B17" s="3" t="s">
        <v>116</v>
      </c>
      <c r="C17" s="3">
        <v>52</v>
      </c>
      <c r="D17" s="3">
        <v>14</v>
      </c>
      <c r="E17" s="3">
        <v>2</v>
      </c>
      <c r="F17" s="3">
        <v>12</v>
      </c>
      <c r="G17" s="3">
        <v>25</v>
      </c>
      <c r="H17" s="3">
        <v>5</v>
      </c>
      <c r="I17" s="3">
        <v>2</v>
      </c>
      <c r="J17" s="3">
        <v>3</v>
      </c>
      <c r="K17" s="3">
        <v>5</v>
      </c>
      <c r="L17" s="3">
        <v>4</v>
      </c>
      <c r="M17" s="3">
        <v>2</v>
      </c>
      <c r="N17" s="3">
        <v>5</v>
      </c>
    </row>
    <row r="18" spans="2:14" hidden="1" x14ac:dyDescent="0.3">
      <c r="B18" s="3" t="s">
        <v>57</v>
      </c>
      <c r="C18" s="3">
        <v>5</v>
      </c>
      <c r="D18" s="3">
        <v>2</v>
      </c>
      <c r="E18" s="3">
        <v>4</v>
      </c>
      <c r="F18" s="3">
        <v>2</v>
      </c>
      <c r="G18" s="3">
        <v>5</v>
      </c>
      <c r="H18" s="3">
        <v>3</v>
      </c>
      <c r="I18" s="3">
        <v>5</v>
      </c>
      <c r="J18" s="3">
        <v>8</v>
      </c>
      <c r="K18" s="3">
        <v>4</v>
      </c>
      <c r="L18" s="3">
        <v>25</v>
      </c>
      <c r="M18" s="3">
        <v>5</v>
      </c>
      <c r="N18" s="3">
        <v>10</v>
      </c>
    </row>
    <row r="19" spans="2:14" hidden="1" x14ac:dyDescent="0.3">
      <c r="B19" s="3" t="s">
        <v>58</v>
      </c>
      <c r="C19" s="3">
        <v>5</v>
      </c>
      <c r="D19" s="3">
        <v>6</v>
      </c>
      <c r="E19" s="3">
        <v>4</v>
      </c>
      <c r="F19" s="3">
        <v>5</v>
      </c>
      <c r="G19" s="3">
        <v>7</v>
      </c>
      <c r="H19" s="3">
        <v>5</v>
      </c>
      <c r="I19" s="3">
        <v>5</v>
      </c>
      <c r="J19" s="3">
        <v>4</v>
      </c>
      <c r="K19" s="3">
        <v>5</v>
      </c>
      <c r="L19" s="3">
        <v>3</v>
      </c>
      <c r="M19" s="3">
        <v>5</v>
      </c>
      <c r="N19" s="3">
        <v>7</v>
      </c>
    </row>
    <row r="20" spans="2:14" hidden="1" x14ac:dyDescent="0.3">
      <c r="B20" s="3" t="s">
        <v>59</v>
      </c>
      <c r="C20" s="3">
        <v>9</v>
      </c>
      <c r="D20" s="3">
        <v>4</v>
      </c>
      <c r="E20" s="3">
        <v>7</v>
      </c>
      <c r="F20" s="3">
        <v>8</v>
      </c>
      <c r="G20" s="3">
        <v>1</v>
      </c>
      <c r="H20" s="3">
        <v>4</v>
      </c>
      <c r="I20" s="3">
        <v>5</v>
      </c>
      <c r="J20" s="3">
        <v>8</v>
      </c>
      <c r="K20" s="3">
        <v>7</v>
      </c>
      <c r="L20" s="3">
        <v>9</v>
      </c>
      <c r="M20" s="3">
        <v>23</v>
      </c>
      <c r="N20" s="3">
        <v>9</v>
      </c>
    </row>
    <row r="21" spans="2:14" hidden="1" x14ac:dyDescent="0.3">
      <c r="B21" s="3" t="s">
        <v>16</v>
      </c>
      <c r="C21" s="3">
        <v>5</v>
      </c>
      <c r="D21" s="3">
        <v>1</v>
      </c>
      <c r="E21" s="3">
        <v>4</v>
      </c>
      <c r="F21" s="3">
        <v>5</v>
      </c>
      <c r="G21" s="3">
        <v>5</v>
      </c>
      <c r="H21" s="3">
        <v>4</v>
      </c>
      <c r="I21" s="3">
        <v>5</v>
      </c>
      <c r="J21" s="3">
        <v>10</v>
      </c>
      <c r="K21" s="3">
        <v>18</v>
      </c>
      <c r="L21" s="3">
        <v>8</v>
      </c>
      <c r="M21" s="3">
        <v>5</v>
      </c>
      <c r="N21" s="3">
        <v>5</v>
      </c>
    </row>
    <row r="22" spans="2:14" hidden="1" x14ac:dyDescent="0.3">
      <c r="B22" s="3" t="s">
        <v>61</v>
      </c>
      <c r="C22" s="3">
        <v>5</v>
      </c>
      <c r="D22" s="3">
        <v>25</v>
      </c>
      <c r="E22" s="3">
        <v>4</v>
      </c>
      <c r="F22" s="3">
        <v>5</v>
      </c>
      <c r="G22" s="3">
        <v>8</v>
      </c>
      <c r="H22" s="3">
        <v>22</v>
      </c>
      <c r="I22" s="3">
        <v>2</v>
      </c>
      <c r="J22" s="3">
        <v>5</v>
      </c>
      <c r="K22" s="3">
        <v>13</v>
      </c>
      <c r="L22" s="3">
        <v>4</v>
      </c>
      <c r="M22" s="3">
        <v>5</v>
      </c>
      <c r="N22" s="3">
        <v>8</v>
      </c>
    </row>
    <row r="23" spans="2:14" x14ac:dyDescent="0.3">
      <c r="B23" s="3" t="s">
        <v>117</v>
      </c>
      <c r="C23" s="3">
        <v>21</v>
      </c>
      <c r="D23" s="3">
        <v>5</v>
      </c>
      <c r="E23" s="3">
        <v>8</v>
      </c>
      <c r="F23" s="3">
        <v>25</v>
      </c>
      <c r="G23" s="3">
        <v>7</v>
      </c>
      <c r="H23" s="3">
        <v>5</v>
      </c>
      <c r="I23" s="3">
        <v>10</v>
      </c>
      <c r="J23" s="3">
        <v>8</v>
      </c>
      <c r="K23" s="3">
        <v>2</v>
      </c>
      <c r="L23" s="3">
        <v>8</v>
      </c>
      <c r="M23" s="3">
        <v>5</v>
      </c>
      <c r="N23" s="3">
        <v>9</v>
      </c>
    </row>
    <row r="24" spans="2:14" hidden="1" x14ac:dyDescent="0.3">
      <c r="B24" s="3" t="s">
        <v>20</v>
      </c>
      <c r="C24" s="3">
        <v>4</v>
      </c>
      <c r="D24" s="3">
        <v>5</v>
      </c>
      <c r="E24" s="3">
        <v>2</v>
      </c>
      <c r="F24" s="3">
        <v>2</v>
      </c>
      <c r="G24" s="3">
        <v>5</v>
      </c>
      <c r="H24" s="3">
        <v>5</v>
      </c>
      <c r="I24" s="3">
        <v>6</v>
      </c>
      <c r="J24" s="3">
        <v>7</v>
      </c>
      <c r="K24" s="3">
        <v>2</v>
      </c>
      <c r="L24" s="3">
        <v>4</v>
      </c>
      <c r="M24" s="3">
        <v>4</v>
      </c>
      <c r="N24" s="3">
        <v>1</v>
      </c>
    </row>
    <row r="25" spans="2:14" hidden="1" x14ac:dyDescent="0.3">
      <c r="B25" s="3" t="s">
        <v>21</v>
      </c>
      <c r="C25" s="3">
        <v>9</v>
      </c>
      <c r="D25" s="3">
        <v>7</v>
      </c>
      <c r="E25" s="3">
        <v>5</v>
      </c>
      <c r="F25" s="3">
        <v>14</v>
      </c>
      <c r="G25" s="3">
        <v>7</v>
      </c>
      <c r="H25" s="3">
        <v>5</v>
      </c>
      <c r="I25" s="3">
        <v>1</v>
      </c>
      <c r="J25" s="3">
        <v>4</v>
      </c>
      <c r="K25" s="3">
        <v>5</v>
      </c>
      <c r="L25" s="3">
        <v>14</v>
      </c>
      <c r="M25" s="3">
        <v>15</v>
      </c>
      <c r="N25" s="3">
        <v>6</v>
      </c>
    </row>
    <row r="26" spans="2:14" hidden="1" x14ac:dyDescent="0.3">
      <c r="B26" s="3" t="s">
        <v>22</v>
      </c>
      <c r="C26" s="3">
        <v>5</v>
      </c>
      <c r="D26" s="3">
        <v>5</v>
      </c>
      <c r="E26" s="3">
        <v>5</v>
      </c>
      <c r="F26" s="3">
        <v>10</v>
      </c>
      <c r="G26" s="3">
        <v>5</v>
      </c>
      <c r="H26" s="3">
        <v>2</v>
      </c>
      <c r="I26" s="3">
        <v>9</v>
      </c>
      <c r="J26" s="3">
        <v>5</v>
      </c>
      <c r="K26" s="3">
        <v>4</v>
      </c>
      <c r="L26" s="3">
        <v>5</v>
      </c>
      <c r="M26" s="3">
        <v>3</v>
      </c>
      <c r="N26" s="3">
        <v>1</v>
      </c>
    </row>
    <row r="27" spans="2:14" hidden="1" x14ac:dyDescent="0.3">
      <c r="B27" s="3" t="s">
        <v>118</v>
      </c>
      <c r="C27" s="3">
        <v>4</v>
      </c>
      <c r="D27" s="3">
        <v>4</v>
      </c>
      <c r="E27" s="3">
        <v>2</v>
      </c>
      <c r="F27" s="3">
        <v>21</v>
      </c>
      <c r="G27" s="3">
        <v>2</v>
      </c>
      <c r="H27" s="3">
        <v>1</v>
      </c>
      <c r="I27" s="3">
        <v>4</v>
      </c>
      <c r="J27" s="3">
        <v>5</v>
      </c>
      <c r="K27" s="3">
        <v>8</v>
      </c>
      <c r="L27" s="3">
        <v>7</v>
      </c>
      <c r="M27" s="3">
        <v>5</v>
      </c>
      <c r="N27" s="3">
        <v>10</v>
      </c>
    </row>
    <row r="28" spans="2:14" x14ac:dyDescent="0.3">
      <c r="B28" s="3" t="s">
        <v>62</v>
      </c>
      <c r="C28" s="3">
        <v>25</v>
      </c>
      <c r="D28" s="3">
        <v>2</v>
      </c>
      <c r="E28" s="3">
        <v>5</v>
      </c>
      <c r="F28" s="3">
        <v>9</v>
      </c>
      <c r="G28" s="3">
        <v>4</v>
      </c>
      <c r="H28" s="3">
        <v>52</v>
      </c>
      <c r="I28" s="3">
        <v>1</v>
      </c>
      <c r="J28" s="3">
        <v>9</v>
      </c>
      <c r="K28" s="3">
        <v>5</v>
      </c>
      <c r="L28" s="3">
        <v>5</v>
      </c>
      <c r="M28" s="3">
        <v>2</v>
      </c>
      <c r="N28" s="3">
        <v>4</v>
      </c>
    </row>
  </sheetData>
  <autoFilter ref="B3:N28" xr:uid="{00000000-0009-0000-0000-000004000000}">
    <filterColumn colId="1">
      <colorFilter dxfId="3"/>
    </filterColumn>
  </autoFilter>
  <phoneticPr fontId="2" type="noConversion"/>
  <conditionalFormatting sqref="C4:N28">
    <cfRule type="cellIs" dxfId="2" priority="1" operator="greaterThan">
      <formula>20</formula>
    </cfRule>
  </conditionalFormatting>
  <dataValidations count="1">
    <dataValidation type="whole" operator="lessThanOrEqual" allowBlank="1" showInputMessage="1" showErrorMessage="1" sqref="C4:N28" xr:uid="{00000000-0002-0000-0400-000000000000}">
      <formula1>20</formula1>
    </dataValidation>
  </dataValidations>
  <pageMargins left="0.7" right="0.7" top="0.75" bottom="0.75" header="0.3" footer="0.3"/>
  <pageSetup paperSize="9"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13"/>
  <sheetViews>
    <sheetView workbookViewId="0">
      <selection activeCell="O24" sqref="O24"/>
    </sheetView>
  </sheetViews>
  <sheetFormatPr defaultRowHeight="16.5" x14ac:dyDescent="0.3"/>
  <cols>
    <col min="2" max="2" width="8" customWidth="1"/>
    <col min="3" max="4" width="11.25" customWidth="1"/>
    <col min="5" max="5" width="4.875" customWidth="1"/>
    <col min="6" max="6" width="8.125" customWidth="1"/>
    <col min="7" max="8" width="12" customWidth="1"/>
    <col min="9" max="9" width="4.75" customWidth="1"/>
    <col min="10" max="10" width="8.25" customWidth="1"/>
    <col min="11" max="12" width="10.375" customWidth="1"/>
  </cols>
  <sheetData>
    <row r="2" spans="2:12" x14ac:dyDescent="0.3">
      <c r="B2" t="s">
        <v>85</v>
      </c>
      <c r="C2" s="4"/>
      <c r="D2" s="4"/>
      <c r="F2" t="s">
        <v>86</v>
      </c>
      <c r="G2" s="4"/>
      <c r="H2" s="4"/>
      <c r="J2" t="s">
        <v>99</v>
      </c>
      <c r="K2" s="4"/>
      <c r="L2" s="4"/>
    </row>
    <row r="3" spans="2:12" x14ac:dyDescent="0.3">
      <c r="B3" s="3" t="s">
        <v>1</v>
      </c>
      <c r="C3" s="3" t="s">
        <v>89</v>
      </c>
      <c r="D3" s="3" t="s">
        <v>24</v>
      </c>
      <c r="F3" s="3" t="s">
        <v>1</v>
      </c>
      <c r="G3" s="3" t="s">
        <v>90</v>
      </c>
      <c r="H3" s="3" t="s">
        <v>24</v>
      </c>
      <c r="J3" s="3" t="s">
        <v>1</v>
      </c>
      <c r="K3" s="3" t="s">
        <v>91</v>
      </c>
      <c r="L3" s="3" t="s">
        <v>24</v>
      </c>
    </row>
    <row r="4" spans="2:12" x14ac:dyDescent="0.3">
      <c r="B4" s="3" t="s">
        <v>87</v>
      </c>
      <c r="C4" s="10">
        <v>44257</v>
      </c>
      <c r="D4" s="10">
        <v>44262</v>
      </c>
      <c r="F4" s="3" t="s">
        <v>87</v>
      </c>
      <c r="G4" s="10">
        <v>44263</v>
      </c>
      <c r="H4" s="10">
        <v>44270</v>
      </c>
      <c r="J4" s="3" t="s">
        <v>88</v>
      </c>
      <c r="K4" s="10">
        <v>44278</v>
      </c>
      <c r="L4" s="10">
        <v>44279</v>
      </c>
    </row>
    <row r="5" spans="2:12" x14ac:dyDescent="0.3">
      <c r="B5" s="3" t="s">
        <v>16</v>
      </c>
      <c r="C5" s="10">
        <v>44260</v>
      </c>
      <c r="D5" s="10">
        <v>44264</v>
      </c>
      <c r="F5" s="3" t="s">
        <v>16</v>
      </c>
      <c r="G5" s="10">
        <v>44266</v>
      </c>
      <c r="H5" s="10">
        <v>44275</v>
      </c>
      <c r="J5" s="3" t="s">
        <v>16</v>
      </c>
      <c r="K5" s="10">
        <v>44281</v>
      </c>
      <c r="L5" s="10">
        <v>44283</v>
      </c>
    </row>
    <row r="6" spans="2:12" x14ac:dyDescent="0.3">
      <c r="B6" s="3" t="s">
        <v>15</v>
      </c>
      <c r="C6" s="10">
        <v>44265</v>
      </c>
      <c r="D6" s="10">
        <v>44264</v>
      </c>
      <c r="F6" s="3" t="s">
        <v>92</v>
      </c>
      <c r="G6" s="10">
        <v>44265</v>
      </c>
      <c r="H6" s="10">
        <v>44276</v>
      </c>
      <c r="J6" s="3" t="s">
        <v>93</v>
      </c>
      <c r="K6" s="10">
        <v>44284</v>
      </c>
      <c r="L6" s="10">
        <v>44288</v>
      </c>
    </row>
    <row r="7" spans="2:12" x14ac:dyDescent="0.3">
      <c r="B7" s="3" t="s">
        <v>94</v>
      </c>
      <c r="C7" s="10">
        <v>44266</v>
      </c>
      <c r="D7" s="10">
        <v>44266</v>
      </c>
      <c r="F7" s="3" t="s">
        <v>95</v>
      </c>
      <c r="G7" s="10">
        <v>44275</v>
      </c>
      <c r="H7" s="10">
        <v>44281</v>
      </c>
      <c r="J7" s="3" t="s">
        <v>96</v>
      </c>
      <c r="K7" s="10">
        <v>44286</v>
      </c>
      <c r="L7" s="10">
        <v>44291</v>
      </c>
    </row>
    <row r="8" spans="2:12" x14ac:dyDescent="0.3">
      <c r="B8" s="3" t="s">
        <v>97</v>
      </c>
      <c r="C8" s="10">
        <v>44267</v>
      </c>
      <c r="D8" s="10">
        <v>44268</v>
      </c>
      <c r="F8" s="3" t="s">
        <v>97</v>
      </c>
      <c r="G8" s="10">
        <v>44277</v>
      </c>
      <c r="H8" s="10">
        <v>44283</v>
      </c>
      <c r="J8" s="3" t="s">
        <v>98</v>
      </c>
      <c r="K8" s="10">
        <v>44281</v>
      </c>
      <c r="L8" s="10">
        <v>44286</v>
      </c>
    </row>
    <row r="9" spans="2:12" x14ac:dyDescent="0.3">
      <c r="B9" s="3" t="s">
        <v>17</v>
      </c>
      <c r="C9" s="10">
        <v>44268</v>
      </c>
      <c r="D9" s="10">
        <v>44267</v>
      </c>
      <c r="F9" s="3" t="s">
        <v>17</v>
      </c>
      <c r="G9" s="10">
        <v>44280</v>
      </c>
      <c r="H9" s="10">
        <v>44285</v>
      </c>
      <c r="J9" s="3" t="s">
        <v>17</v>
      </c>
      <c r="K9" s="10">
        <v>44286</v>
      </c>
      <c r="L9" s="10">
        <v>44291</v>
      </c>
    </row>
    <row r="10" spans="2:12" x14ac:dyDescent="0.3">
      <c r="B10" s="3" t="s">
        <v>105</v>
      </c>
      <c r="C10" s="10">
        <v>44275</v>
      </c>
      <c r="D10" s="10">
        <v>44280</v>
      </c>
      <c r="F10" s="3" t="s">
        <v>105</v>
      </c>
      <c r="G10" s="10">
        <v>44283</v>
      </c>
      <c r="H10" s="10">
        <v>44283</v>
      </c>
      <c r="J10" s="3" t="s">
        <v>106</v>
      </c>
      <c r="K10" s="10">
        <v>44287</v>
      </c>
      <c r="L10" s="10">
        <v>44291</v>
      </c>
    </row>
    <row r="11" spans="2:12" x14ac:dyDescent="0.3">
      <c r="B11" s="3" t="s">
        <v>19</v>
      </c>
      <c r="C11" s="10">
        <v>44270</v>
      </c>
      <c r="D11" s="10">
        <v>44270</v>
      </c>
      <c r="F11" s="3" t="s">
        <v>19</v>
      </c>
      <c r="G11" s="10">
        <v>44285</v>
      </c>
      <c r="H11" s="10">
        <v>44285</v>
      </c>
      <c r="J11" s="3" t="s">
        <v>19</v>
      </c>
      <c r="K11" s="10">
        <v>44293</v>
      </c>
      <c r="L11" s="10">
        <v>44296</v>
      </c>
    </row>
    <row r="12" spans="2:12" x14ac:dyDescent="0.3">
      <c r="B12" s="3" t="s">
        <v>100</v>
      </c>
      <c r="C12" s="10">
        <v>44273</v>
      </c>
      <c r="D12" s="10">
        <v>44275</v>
      </c>
      <c r="F12" s="3" t="s">
        <v>102</v>
      </c>
      <c r="G12" s="10">
        <v>44289</v>
      </c>
      <c r="H12" s="10">
        <v>44291</v>
      </c>
      <c r="J12" s="3" t="s">
        <v>103</v>
      </c>
      <c r="K12" s="10">
        <v>44295</v>
      </c>
      <c r="L12" s="10">
        <v>44296</v>
      </c>
    </row>
    <row r="13" spans="2:12" x14ac:dyDescent="0.3">
      <c r="B13" s="3" t="s">
        <v>101</v>
      </c>
      <c r="C13" s="10">
        <v>44271</v>
      </c>
      <c r="D13" s="10">
        <v>44273</v>
      </c>
      <c r="F13" s="3" t="s">
        <v>101</v>
      </c>
      <c r="G13" s="10">
        <v>44287</v>
      </c>
      <c r="H13" s="10">
        <v>44289</v>
      </c>
      <c r="J13" s="3" t="s">
        <v>104</v>
      </c>
      <c r="K13" s="10">
        <v>44292</v>
      </c>
      <c r="L13" s="10">
        <v>44299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2:N28"/>
  <sheetViews>
    <sheetView workbookViewId="0">
      <selection activeCell="P17" sqref="P17"/>
    </sheetView>
  </sheetViews>
  <sheetFormatPr defaultRowHeight="16.5" x14ac:dyDescent="0.3"/>
  <cols>
    <col min="1" max="1" width="2.75" customWidth="1"/>
    <col min="3" max="14" width="6.625" customWidth="1"/>
  </cols>
  <sheetData>
    <row r="2" spans="2:14" x14ac:dyDescent="0.3">
      <c r="B2" t="s">
        <v>0</v>
      </c>
    </row>
    <row r="3" spans="2:14" x14ac:dyDescent="0.3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3" t="s">
        <v>14</v>
      </c>
    </row>
    <row r="4" spans="2:14" x14ac:dyDescent="0.3">
      <c r="B4" s="3" t="s">
        <v>63</v>
      </c>
      <c r="C4" s="3">
        <v>2</v>
      </c>
      <c r="D4" s="3">
        <v>5</v>
      </c>
      <c r="E4" s="3">
        <v>10</v>
      </c>
      <c r="F4" s="3">
        <v>8</v>
      </c>
      <c r="G4" s="3">
        <v>2</v>
      </c>
      <c r="H4" s="3">
        <v>8</v>
      </c>
      <c r="I4" s="3">
        <v>5</v>
      </c>
      <c r="J4" s="3">
        <v>9</v>
      </c>
      <c r="K4" s="3">
        <v>5</v>
      </c>
      <c r="L4" s="3">
        <v>5</v>
      </c>
      <c r="M4" s="3">
        <v>2</v>
      </c>
      <c r="N4" s="3">
        <v>17</v>
      </c>
    </row>
    <row r="5" spans="2:14" x14ac:dyDescent="0.3">
      <c r="B5" s="3" t="s">
        <v>64</v>
      </c>
      <c r="C5" s="3">
        <v>6</v>
      </c>
      <c r="D5" s="3">
        <v>30</v>
      </c>
      <c r="E5" s="3">
        <v>6</v>
      </c>
      <c r="F5" s="3">
        <v>7</v>
      </c>
      <c r="G5" s="3">
        <v>2</v>
      </c>
      <c r="H5" s="3">
        <v>4</v>
      </c>
      <c r="I5" s="3">
        <v>4</v>
      </c>
      <c r="J5" s="3">
        <v>1</v>
      </c>
      <c r="K5" s="3">
        <v>-12</v>
      </c>
      <c r="L5" s="3">
        <v>5</v>
      </c>
      <c r="M5" s="3">
        <v>4</v>
      </c>
      <c r="N5" s="3">
        <v>1</v>
      </c>
    </row>
    <row r="6" spans="2:14" x14ac:dyDescent="0.3">
      <c r="B6" s="3" t="s">
        <v>65</v>
      </c>
      <c r="C6" s="3">
        <v>4</v>
      </c>
      <c r="D6" s="3">
        <v>-1</v>
      </c>
      <c r="E6" s="3">
        <v>5</v>
      </c>
      <c r="F6" s="3">
        <v>7</v>
      </c>
      <c r="G6" s="3">
        <v>20</v>
      </c>
      <c r="H6" s="3">
        <v>7</v>
      </c>
      <c r="I6" s="3">
        <v>19</v>
      </c>
      <c r="J6" s="3">
        <v>1</v>
      </c>
      <c r="K6" s="3">
        <v>5</v>
      </c>
      <c r="L6" s="3">
        <v>8</v>
      </c>
      <c r="M6" s="3">
        <v>4</v>
      </c>
      <c r="N6" s="3">
        <v>1</v>
      </c>
    </row>
    <row r="7" spans="2:14" x14ac:dyDescent="0.3">
      <c r="B7" s="3" t="s">
        <v>66</v>
      </c>
      <c r="C7" s="3">
        <v>5</v>
      </c>
      <c r="D7" s="3">
        <v>4</v>
      </c>
      <c r="E7" s="3">
        <v>5</v>
      </c>
      <c r="F7" s="3">
        <v>3</v>
      </c>
      <c r="G7" s="3">
        <v>1</v>
      </c>
      <c r="H7" s="3">
        <v>5</v>
      </c>
      <c r="I7" s="3">
        <v>7</v>
      </c>
      <c r="J7" s="3">
        <v>2</v>
      </c>
      <c r="K7" s="3">
        <v>7</v>
      </c>
      <c r="L7" s="3">
        <v>8</v>
      </c>
      <c r="M7" s="3">
        <v>21</v>
      </c>
      <c r="N7" s="3">
        <v>5</v>
      </c>
    </row>
    <row r="8" spans="2:14" x14ac:dyDescent="0.3">
      <c r="B8" s="3" t="s">
        <v>67</v>
      </c>
      <c r="C8" s="3">
        <v>5</v>
      </c>
      <c r="D8" s="3">
        <v>8</v>
      </c>
      <c r="E8" s="3">
        <v>7</v>
      </c>
      <c r="F8" s="3">
        <v>-12</v>
      </c>
      <c r="G8" s="3">
        <v>5</v>
      </c>
      <c r="H8" s="3">
        <v>5</v>
      </c>
      <c r="I8" s="3">
        <v>2</v>
      </c>
      <c r="J8" s="3">
        <v>2</v>
      </c>
      <c r="K8" s="3">
        <v>7</v>
      </c>
      <c r="L8" s="3">
        <v>7</v>
      </c>
      <c r="M8" s="3">
        <v>8</v>
      </c>
      <c r="N8" s="3">
        <v>9</v>
      </c>
    </row>
    <row r="9" spans="2:14" x14ac:dyDescent="0.3">
      <c r="B9" s="3" t="s">
        <v>51</v>
      </c>
      <c r="C9" s="3">
        <v>10</v>
      </c>
      <c r="D9" s="3">
        <v>5</v>
      </c>
      <c r="E9" s="3">
        <v>2</v>
      </c>
      <c r="F9" s="3">
        <v>5</v>
      </c>
      <c r="G9" s="3">
        <v>12</v>
      </c>
      <c r="H9" s="3">
        <v>16</v>
      </c>
      <c r="I9" s="3">
        <v>2</v>
      </c>
      <c r="J9" s="3">
        <v>5</v>
      </c>
      <c r="K9" s="3">
        <v>16</v>
      </c>
      <c r="L9" s="3">
        <v>2</v>
      </c>
      <c r="M9" s="3">
        <v>5</v>
      </c>
      <c r="N9" s="3">
        <v>36</v>
      </c>
    </row>
    <row r="10" spans="2:14" x14ac:dyDescent="0.3">
      <c r="B10" s="3" t="s">
        <v>52</v>
      </c>
      <c r="C10" s="3">
        <v>10</v>
      </c>
      <c r="D10" s="3">
        <v>2</v>
      </c>
      <c r="E10" s="3">
        <v>5</v>
      </c>
      <c r="F10" s="3">
        <v>2</v>
      </c>
      <c r="G10" s="3">
        <v>6</v>
      </c>
      <c r="H10" s="3">
        <v>7</v>
      </c>
      <c r="I10" s="3">
        <v>5</v>
      </c>
      <c r="J10" s="3">
        <v>2</v>
      </c>
      <c r="K10" s="3">
        <v>6</v>
      </c>
      <c r="L10" s="3">
        <v>5</v>
      </c>
      <c r="M10" s="3">
        <v>2</v>
      </c>
      <c r="N10" s="3">
        <v>6</v>
      </c>
    </row>
    <row r="11" spans="2:14" x14ac:dyDescent="0.3">
      <c r="B11" s="3" t="s">
        <v>53</v>
      </c>
      <c r="C11" s="3">
        <v>5</v>
      </c>
      <c r="D11" s="3">
        <v>5</v>
      </c>
      <c r="E11" s="3">
        <v>2</v>
      </c>
      <c r="F11" s="3">
        <v>6</v>
      </c>
      <c r="G11" s="3">
        <v>8</v>
      </c>
      <c r="H11" s="3">
        <v>7</v>
      </c>
      <c r="I11" s="3">
        <v>1</v>
      </c>
      <c r="J11" s="3">
        <v>52</v>
      </c>
      <c r="K11" s="3">
        <v>5</v>
      </c>
      <c r="L11" s="3">
        <v>-5</v>
      </c>
      <c r="M11" s="3">
        <v>1</v>
      </c>
      <c r="N11" s="3">
        <v>5</v>
      </c>
    </row>
    <row r="12" spans="2:14" x14ac:dyDescent="0.3">
      <c r="B12" s="3" t="s">
        <v>68</v>
      </c>
      <c r="C12" s="3">
        <v>52</v>
      </c>
      <c r="D12" s="3">
        <v>5</v>
      </c>
      <c r="E12" s="3">
        <v>4</v>
      </c>
      <c r="F12" s="3">
        <v>5</v>
      </c>
      <c r="G12" s="3">
        <v>2</v>
      </c>
      <c r="H12" s="3">
        <v>7</v>
      </c>
      <c r="I12" s="3">
        <v>5</v>
      </c>
      <c r="J12" s="3">
        <v>18</v>
      </c>
      <c r="K12" s="3">
        <v>5</v>
      </c>
      <c r="L12" s="3">
        <v>5</v>
      </c>
      <c r="M12" s="3">
        <v>4</v>
      </c>
      <c r="N12" s="3">
        <v>25</v>
      </c>
    </row>
    <row r="13" spans="2:14" x14ac:dyDescent="0.3">
      <c r="B13" s="3" t="s">
        <v>19</v>
      </c>
      <c r="C13" s="3">
        <v>2</v>
      </c>
      <c r="D13" s="3">
        <v>1</v>
      </c>
      <c r="E13" s="3">
        <v>4</v>
      </c>
      <c r="F13" s="3">
        <v>5</v>
      </c>
      <c r="G13" s="3">
        <v>2</v>
      </c>
      <c r="H13" s="3">
        <v>5</v>
      </c>
      <c r="I13" s="3">
        <v>1</v>
      </c>
      <c r="J13" s="3">
        <v>4</v>
      </c>
      <c r="K13" s="3">
        <v>5</v>
      </c>
      <c r="L13" s="3">
        <v>8</v>
      </c>
      <c r="M13" s="3">
        <v>5</v>
      </c>
      <c r="N13" s="3">
        <v>2</v>
      </c>
    </row>
    <row r="14" spans="2:14" x14ac:dyDescent="0.3">
      <c r="B14" s="3" t="s">
        <v>55</v>
      </c>
      <c r="C14" s="3">
        <v>4</v>
      </c>
      <c r="D14" s="3">
        <v>5</v>
      </c>
      <c r="E14" s="3">
        <v>14</v>
      </c>
      <c r="F14" s="3">
        <v>-30</v>
      </c>
      <c r="G14" s="3">
        <v>6</v>
      </c>
      <c r="H14" s="3">
        <v>2</v>
      </c>
      <c r="I14" s="3">
        <v>74</v>
      </c>
      <c r="J14" s="3">
        <v>8</v>
      </c>
      <c r="K14" s="3">
        <v>5</v>
      </c>
      <c r="L14" s="3">
        <v>9</v>
      </c>
      <c r="M14" s="3">
        <v>5</v>
      </c>
      <c r="N14" s="3">
        <v>5</v>
      </c>
    </row>
    <row r="15" spans="2:14" x14ac:dyDescent="0.3">
      <c r="B15" s="3" t="s">
        <v>23</v>
      </c>
      <c r="C15" s="3">
        <v>5</v>
      </c>
      <c r="D15" s="3">
        <v>4</v>
      </c>
      <c r="E15" s="3">
        <v>5</v>
      </c>
      <c r="F15" s="3">
        <v>3</v>
      </c>
      <c r="G15" s="3">
        <v>5</v>
      </c>
      <c r="H15" s="3">
        <v>2</v>
      </c>
      <c r="I15" s="3">
        <v>5</v>
      </c>
      <c r="J15" s="3">
        <v>4</v>
      </c>
      <c r="K15" s="3">
        <v>4</v>
      </c>
      <c r="L15" s="3">
        <v>1</v>
      </c>
      <c r="M15" s="3">
        <v>10</v>
      </c>
      <c r="N15" s="3">
        <v>5</v>
      </c>
    </row>
    <row r="16" spans="2:14" x14ac:dyDescent="0.3">
      <c r="B16" s="3" t="s">
        <v>56</v>
      </c>
      <c r="C16" s="3">
        <v>5</v>
      </c>
      <c r="D16" s="3">
        <v>-32</v>
      </c>
      <c r="E16" s="3">
        <v>5</v>
      </c>
      <c r="F16" s="3">
        <v>2</v>
      </c>
      <c r="G16" s="3">
        <v>10</v>
      </c>
      <c r="H16" s="3">
        <v>21</v>
      </c>
      <c r="I16" s="3">
        <v>3</v>
      </c>
      <c r="J16" s="3">
        <v>-5</v>
      </c>
      <c r="K16" s="3">
        <v>4</v>
      </c>
      <c r="L16" s="3">
        <v>8</v>
      </c>
      <c r="M16" s="3">
        <v>5</v>
      </c>
      <c r="N16" s="3">
        <v>5</v>
      </c>
    </row>
    <row r="17" spans="2:14" x14ac:dyDescent="0.3">
      <c r="B17" s="3" t="s">
        <v>116</v>
      </c>
      <c r="C17" s="3">
        <v>52</v>
      </c>
      <c r="D17" s="3">
        <v>14</v>
      </c>
      <c r="E17" s="3">
        <v>2</v>
      </c>
      <c r="F17" s="3">
        <v>12</v>
      </c>
      <c r="G17" s="3">
        <v>25</v>
      </c>
      <c r="H17" s="3">
        <v>5</v>
      </c>
      <c r="I17" s="3">
        <v>2</v>
      </c>
      <c r="J17" s="3">
        <v>3</v>
      </c>
      <c r="K17" s="3">
        <v>5</v>
      </c>
      <c r="L17" s="3">
        <v>4</v>
      </c>
      <c r="M17" s="3">
        <v>2</v>
      </c>
      <c r="N17" s="3">
        <v>5</v>
      </c>
    </row>
    <row r="18" spans="2:14" x14ac:dyDescent="0.3">
      <c r="B18" s="3" t="s">
        <v>57</v>
      </c>
      <c r="C18" s="3">
        <v>5</v>
      </c>
      <c r="D18" s="3">
        <v>2</v>
      </c>
      <c r="E18" s="3">
        <v>4</v>
      </c>
      <c r="F18" s="3">
        <v>2</v>
      </c>
      <c r="G18" s="3">
        <v>5</v>
      </c>
      <c r="H18" s="3">
        <v>3</v>
      </c>
      <c r="I18" s="3">
        <v>5</v>
      </c>
      <c r="J18" s="3">
        <v>8</v>
      </c>
      <c r="K18" s="3">
        <v>4</v>
      </c>
      <c r="L18" s="3">
        <v>25</v>
      </c>
      <c r="M18" s="3">
        <v>5</v>
      </c>
      <c r="N18" s="3">
        <v>10</v>
      </c>
    </row>
    <row r="19" spans="2:14" x14ac:dyDescent="0.3">
      <c r="B19" s="3" t="s">
        <v>58</v>
      </c>
      <c r="C19" s="3">
        <v>5</v>
      </c>
      <c r="D19" s="3">
        <v>6</v>
      </c>
      <c r="E19" s="3">
        <v>4</v>
      </c>
      <c r="F19" s="3">
        <v>5</v>
      </c>
      <c r="G19" s="3">
        <v>7</v>
      </c>
      <c r="H19" s="3">
        <v>5</v>
      </c>
      <c r="I19" s="3">
        <v>5</v>
      </c>
      <c r="J19" s="3">
        <v>4</v>
      </c>
      <c r="K19" s="3">
        <v>5</v>
      </c>
      <c r="L19" s="3">
        <v>3</v>
      </c>
      <c r="M19" s="3">
        <v>5</v>
      </c>
      <c r="N19" s="3">
        <v>7</v>
      </c>
    </row>
    <row r="20" spans="2:14" x14ac:dyDescent="0.3">
      <c r="B20" s="3" t="s">
        <v>59</v>
      </c>
      <c r="C20" s="3">
        <v>9</v>
      </c>
      <c r="D20" s="3">
        <v>4</v>
      </c>
      <c r="E20" s="3">
        <v>7</v>
      </c>
      <c r="F20" s="3">
        <v>8</v>
      </c>
      <c r="G20" s="3">
        <v>1</v>
      </c>
      <c r="H20" s="3">
        <v>4</v>
      </c>
      <c r="I20" s="3">
        <v>5</v>
      </c>
      <c r="J20" s="3">
        <v>8</v>
      </c>
      <c r="K20" s="3">
        <v>7</v>
      </c>
      <c r="L20" s="3">
        <v>9</v>
      </c>
      <c r="M20" s="3">
        <v>23</v>
      </c>
      <c r="N20" s="3">
        <v>9</v>
      </c>
    </row>
    <row r="21" spans="2:14" x14ac:dyDescent="0.3">
      <c r="B21" s="3" t="s">
        <v>16</v>
      </c>
      <c r="C21" s="3">
        <v>5</v>
      </c>
      <c r="D21" s="3">
        <v>-1</v>
      </c>
      <c r="E21" s="3">
        <v>4</v>
      </c>
      <c r="F21" s="3">
        <v>5</v>
      </c>
      <c r="G21" s="3">
        <v>5</v>
      </c>
      <c r="H21" s="3">
        <v>4</v>
      </c>
      <c r="I21" s="3">
        <v>5</v>
      </c>
      <c r="J21" s="3">
        <v>10</v>
      </c>
      <c r="K21" s="3">
        <v>-18</v>
      </c>
      <c r="L21" s="3">
        <v>8</v>
      </c>
      <c r="M21" s="3">
        <v>5</v>
      </c>
      <c r="N21" s="3">
        <v>5</v>
      </c>
    </row>
    <row r="22" spans="2:14" x14ac:dyDescent="0.3">
      <c r="B22" s="3" t="s">
        <v>61</v>
      </c>
      <c r="C22" s="3">
        <v>5</v>
      </c>
      <c r="D22" s="3">
        <v>25</v>
      </c>
      <c r="E22" s="3">
        <v>4</v>
      </c>
      <c r="F22" s="3">
        <v>5</v>
      </c>
      <c r="G22" s="3">
        <v>8</v>
      </c>
      <c r="H22" s="3">
        <v>22</v>
      </c>
      <c r="I22" s="3">
        <v>2</v>
      </c>
      <c r="J22" s="3">
        <v>5</v>
      </c>
      <c r="K22" s="3">
        <v>13</v>
      </c>
      <c r="L22" s="3">
        <v>4</v>
      </c>
      <c r="M22" s="3">
        <v>5</v>
      </c>
      <c r="N22" s="3">
        <v>8</v>
      </c>
    </row>
    <row r="23" spans="2:14" x14ac:dyDescent="0.3">
      <c r="B23" s="3" t="s">
        <v>117</v>
      </c>
      <c r="C23" s="3">
        <v>21</v>
      </c>
      <c r="D23" s="3">
        <v>5</v>
      </c>
      <c r="E23" s="3">
        <v>-8</v>
      </c>
      <c r="F23" s="3">
        <v>25</v>
      </c>
      <c r="G23" s="3">
        <v>7</v>
      </c>
      <c r="H23" s="3">
        <v>5</v>
      </c>
      <c r="I23" s="3">
        <v>10</v>
      </c>
      <c r="J23" s="3">
        <v>8</v>
      </c>
      <c r="K23" s="3">
        <v>2</v>
      </c>
      <c r="L23" s="3">
        <v>8</v>
      </c>
      <c r="M23" s="3">
        <v>5</v>
      </c>
      <c r="N23" s="3">
        <v>9</v>
      </c>
    </row>
    <row r="24" spans="2:14" x14ac:dyDescent="0.3">
      <c r="B24" s="3" t="s">
        <v>20</v>
      </c>
      <c r="C24" s="3">
        <v>4</v>
      </c>
      <c r="D24" s="3">
        <v>5</v>
      </c>
      <c r="E24" s="3">
        <v>2</v>
      </c>
      <c r="F24" s="3">
        <v>2</v>
      </c>
      <c r="G24" s="3">
        <v>5</v>
      </c>
      <c r="H24" s="3">
        <v>5</v>
      </c>
      <c r="I24" s="3">
        <v>6</v>
      </c>
      <c r="J24" s="3">
        <v>7</v>
      </c>
      <c r="K24" s="3">
        <v>2</v>
      </c>
      <c r="L24" s="3">
        <v>-4</v>
      </c>
      <c r="M24" s="3">
        <v>4</v>
      </c>
      <c r="N24" s="3">
        <v>1</v>
      </c>
    </row>
    <row r="25" spans="2:14" x14ac:dyDescent="0.3">
      <c r="B25" s="3" t="s">
        <v>21</v>
      </c>
      <c r="C25" s="3">
        <v>9</v>
      </c>
      <c r="D25" s="3">
        <v>7</v>
      </c>
      <c r="E25" s="3">
        <v>5</v>
      </c>
      <c r="F25" s="3">
        <v>14</v>
      </c>
      <c r="G25" s="3">
        <v>7</v>
      </c>
      <c r="H25" s="3">
        <v>5</v>
      </c>
      <c r="I25" s="3">
        <v>1</v>
      </c>
      <c r="J25" s="3">
        <v>4</v>
      </c>
      <c r="K25" s="3">
        <v>5</v>
      </c>
      <c r="L25" s="3">
        <v>14</v>
      </c>
      <c r="M25" s="3">
        <v>15</v>
      </c>
      <c r="N25" s="3">
        <v>6</v>
      </c>
    </row>
    <row r="26" spans="2:14" x14ac:dyDescent="0.3">
      <c r="B26" s="3" t="s">
        <v>22</v>
      </c>
      <c r="C26" s="3">
        <v>5</v>
      </c>
      <c r="D26" s="3">
        <v>5</v>
      </c>
      <c r="E26" s="3">
        <v>5</v>
      </c>
      <c r="F26" s="3">
        <v>10</v>
      </c>
      <c r="G26" s="3">
        <v>5</v>
      </c>
      <c r="H26" s="3">
        <v>-2</v>
      </c>
      <c r="I26" s="3">
        <v>9</v>
      </c>
      <c r="J26" s="3">
        <v>5</v>
      </c>
      <c r="K26" s="3">
        <v>4</v>
      </c>
      <c r="L26" s="3">
        <v>5</v>
      </c>
      <c r="M26" s="3">
        <v>3</v>
      </c>
      <c r="N26" s="3">
        <v>1</v>
      </c>
    </row>
    <row r="27" spans="2:14" x14ac:dyDescent="0.3">
      <c r="B27" s="3" t="s">
        <v>118</v>
      </c>
      <c r="C27" s="3">
        <v>4</v>
      </c>
      <c r="D27" s="3">
        <v>4</v>
      </c>
      <c r="E27" s="3">
        <v>2</v>
      </c>
      <c r="F27" s="3">
        <v>21</v>
      </c>
      <c r="G27" s="3">
        <v>2</v>
      </c>
      <c r="H27" s="3">
        <v>1</v>
      </c>
      <c r="I27" s="3">
        <v>4</v>
      </c>
      <c r="J27" s="3">
        <v>5</v>
      </c>
      <c r="K27" s="3">
        <v>8</v>
      </c>
      <c r="L27" s="3">
        <v>7</v>
      </c>
      <c r="M27" s="3">
        <v>5</v>
      </c>
      <c r="N27" s="3">
        <v>10</v>
      </c>
    </row>
    <row r="28" spans="2:14" x14ac:dyDescent="0.3">
      <c r="B28" s="3" t="s">
        <v>62</v>
      </c>
      <c r="C28" s="3">
        <v>25</v>
      </c>
      <c r="D28" s="3">
        <v>2</v>
      </c>
      <c r="E28" s="3">
        <v>5</v>
      </c>
      <c r="F28" s="3">
        <v>9</v>
      </c>
      <c r="G28" s="3">
        <v>4</v>
      </c>
      <c r="H28" s="3">
        <v>52</v>
      </c>
      <c r="I28" s="3">
        <v>1</v>
      </c>
      <c r="J28" s="3">
        <v>9</v>
      </c>
      <c r="K28" s="3">
        <v>5</v>
      </c>
      <c r="L28" s="3">
        <v>5</v>
      </c>
      <c r="M28" s="3">
        <v>2</v>
      </c>
      <c r="N28" s="3">
        <v>4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서식적용">
                <anchor moveWithCells="1" siz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서식해제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J20"/>
  <sheetViews>
    <sheetView workbookViewId="0">
      <selection activeCell="H29" sqref="H29"/>
    </sheetView>
  </sheetViews>
  <sheetFormatPr defaultRowHeight="16.5" x14ac:dyDescent="0.3"/>
  <cols>
    <col min="1" max="1" width="6" customWidth="1"/>
    <col min="2" max="2" width="11.625" customWidth="1"/>
    <col min="4" max="4" width="25" customWidth="1"/>
    <col min="6" max="6" width="12.5" customWidth="1"/>
    <col min="7" max="7" width="12" customWidth="1"/>
    <col min="9" max="9" width="4.25" customWidth="1"/>
    <col min="10" max="10" width="11.625" customWidth="1"/>
    <col min="13" max="13" width="11.25" customWidth="1"/>
  </cols>
  <sheetData>
    <row r="3" spans="2:10" x14ac:dyDescent="0.3">
      <c r="B3" t="s">
        <v>0</v>
      </c>
      <c r="J3" t="s">
        <v>29</v>
      </c>
    </row>
    <row r="4" spans="2:10" x14ac:dyDescent="0.3">
      <c r="B4" s="3" t="s">
        <v>25</v>
      </c>
      <c r="C4" s="3" t="s">
        <v>26</v>
      </c>
      <c r="D4" s="3" t="s">
        <v>114</v>
      </c>
      <c r="E4" s="3" t="s">
        <v>113</v>
      </c>
      <c r="F4" s="3" t="s">
        <v>27</v>
      </c>
      <c r="G4" s="3" t="s">
        <v>28</v>
      </c>
      <c r="H4" s="3" t="s">
        <v>30</v>
      </c>
      <c r="J4" s="3" t="s">
        <v>25</v>
      </c>
    </row>
    <row r="5" spans="2:10" x14ac:dyDescent="0.3">
      <c r="B5" s="1" t="s">
        <v>127</v>
      </c>
      <c r="C5" s="1" t="s">
        <v>128</v>
      </c>
      <c r="D5" s="1" t="s">
        <v>129</v>
      </c>
      <c r="E5" s="1">
        <v>22000</v>
      </c>
      <c r="F5" s="1" t="s">
        <v>130</v>
      </c>
      <c r="G5" s="1" t="s">
        <v>131</v>
      </c>
      <c r="H5" s="1" t="s">
        <v>132</v>
      </c>
      <c r="J5" s="3" t="s">
        <v>107</v>
      </c>
    </row>
    <row r="6" spans="2:10" x14ac:dyDescent="0.3">
      <c r="B6" s="1"/>
      <c r="C6" s="1"/>
      <c r="D6" s="1"/>
      <c r="E6" s="1"/>
      <c r="F6" s="1"/>
      <c r="G6" s="1"/>
      <c r="H6" s="1"/>
      <c r="J6" s="3" t="s">
        <v>108</v>
      </c>
    </row>
    <row r="7" spans="2:10" x14ac:dyDescent="0.3">
      <c r="B7" s="1"/>
      <c r="C7" s="1"/>
      <c r="D7" s="1"/>
      <c r="E7" s="1"/>
      <c r="F7" s="1"/>
      <c r="G7" s="1"/>
      <c r="H7" s="1"/>
      <c r="J7" s="3" t="s">
        <v>109</v>
      </c>
    </row>
    <row r="8" spans="2:10" x14ac:dyDescent="0.3">
      <c r="B8" s="1"/>
      <c r="C8" s="1"/>
      <c r="D8" s="1"/>
      <c r="E8" s="1"/>
      <c r="F8" s="1"/>
      <c r="G8" s="1"/>
      <c r="H8" s="1"/>
      <c r="J8" s="3" t="s">
        <v>110</v>
      </c>
    </row>
    <row r="9" spans="2:10" x14ac:dyDescent="0.3">
      <c r="B9" s="1"/>
      <c r="C9" s="1"/>
      <c r="D9" s="1"/>
      <c r="E9" s="1"/>
      <c r="F9" s="1"/>
      <c r="G9" s="1"/>
      <c r="H9" s="1"/>
      <c r="J9" s="3" t="s">
        <v>111</v>
      </c>
    </row>
    <row r="10" spans="2:10" x14ac:dyDescent="0.3">
      <c r="B10" s="1"/>
      <c r="C10" s="1"/>
      <c r="D10" s="1"/>
      <c r="E10" s="1"/>
      <c r="F10" s="1"/>
      <c r="G10" s="1"/>
      <c r="H10" s="1"/>
      <c r="J10" s="3" t="s">
        <v>112</v>
      </c>
    </row>
    <row r="11" spans="2:10" x14ac:dyDescent="0.3">
      <c r="B11" s="1"/>
      <c r="C11" s="1"/>
      <c r="D11" s="1"/>
      <c r="E11" s="1"/>
      <c r="F11" s="1"/>
      <c r="G11" s="1"/>
      <c r="H11" s="1"/>
    </row>
    <row r="12" spans="2:10" x14ac:dyDescent="0.3">
      <c r="B12" s="1"/>
      <c r="C12" s="1"/>
      <c r="D12" s="1"/>
      <c r="E12" s="1"/>
      <c r="F12" s="1"/>
      <c r="G12" s="1"/>
      <c r="H12" s="1"/>
    </row>
    <row r="13" spans="2:10" x14ac:dyDescent="0.3">
      <c r="B13" s="1"/>
      <c r="C13" s="1"/>
      <c r="D13" s="1"/>
      <c r="E13" s="1"/>
      <c r="F13" s="1"/>
      <c r="G13" s="1"/>
      <c r="H13" s="1"/>
    </row>
    <row r="14" spans="2:10" x14ac:dyDescent="0.3">
      <c r="B14" s="1"/>
      <c r="C14" s="1"/>
      <c r="D14" s="1"/>
      <c r="E14" s="1"/>
      <c r="F14" s="1"/>
      <c r="G14" s="1"/>
      <c r="H14" s="1"/>
    </row>
    <row r="15" spans="2:10" x14ac:dyDescent="0.3">
      <c r="B15" s="1"/>
      <c r="C15" s="1"/>
      <c r="D15" s="1"/>
      <c r="E15" s="1"/>
      <c r="F15" s="1"/>
      <c r="G15" s="1"/>
      <c r="H15" s="1"/>
    </row>
    <row r="16" spans="2:10" x14ac:dyDescent="0.3">
      <c r="B16" s="1"/>
      <c r="C16" s="1"/>
      <c r="D16" s="1"/>
      <c r="E16" s="1"/>
      <c r="F16" s="1"/>
      <c r="G16" s="1"/>
      <c r="H16" s="1"/>
    </row>
    <row r="17" spans="2:8" x14ac:dyDescent="0.3">
      <c r="B17" s="1"/>
      <c r="C17" s="1"/>
      <c r="D17" s="1"/>
      <c r="E17" s="1"/>
      <c r="F17" s="1"/>
      <c r="G17" s="1"/>
      <c r="H17" s="1"/>
    </row>
    <row r="18" spans="2:8" x14ac:dyDescent="0.3">
      <c r="B18" s="1"/>
      <c r="C18" s="1"/>
      <c r="D18" s="1"/>
      <c r="E18" s="1"/>
      <c r="F18" s="1"/>
      <c r="G18" s="1"/>
      <c r="H18" s="1"/>
    </row>
    <row r="19" spans="2:8" x14ac:dyDescent="0.3">
      <c r="B19" s="1"/>
      <c r="C19" s="1"/>
      <c r="D19" s="1"/>
      <c r="E19" s="1"/>
      <c r="F19" s="1"/>
      <c r="G19" s="1"/>
      <c r="H19" s="1"/>
    </row>
    <row r="20" spans="2:8" x14ac:dyDescent="0.3">
      <c r="B20" s="1"/>
      <c r="C20" s="1"/>
      <c r="D20" s="1"/>
      <c r="E20" s="1"/>
      <c r="F20" s="1"/>
      <c r="G20" s="1"/>
      <c r="H20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도서등록">
          <controlPr defaultSize="0" autoLine="0" autoPict="0" r:id="rId4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1" r:id="rId3" name="cmd도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컨버전스 디지털</cp:lastModifiedBy>
  <dcterms:created xsi:type="dcterms:W3CDTF">2016-08-29T00:51:27Z</dcterms:created>
  <dcterms:modified xsi:type="dcterms:W3CDTF">2024-03-13T05:08:09Z</dcterms:modified>
</cp:coreProperties>
</file>