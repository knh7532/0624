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so404\Downloads\2024_컴활1급\엑셀\완성파일\최신유형기출\"/>
    </mc:Choice>
  </mc:AlternateContent>
  <xr:revisionPtr revIDLastSave="0" documentId="13_ncr:1_{F55DD5EE-9042-43C7-88F8-194BB8B0C697}" xr6:coauthVersionLast="47" xr6:coauthVersionMax="47" xr10:uidLastSave="{00000000-0000-0000-0000-000000000000}"/>
  <bookViews>
    <workbookView xWindow="28680" yWindow="-120" windowWidth="29040" windowHeight="15840" activeTab="7" xr2:uid="{00000000-000D-0000-FFFF-FFFF00000000}"/>
  </bookViews>
  <sheets>
    <sheet name="기본작업-1" sheetId="8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9" r:id="rId7"/>
    <sheet name="기타작업-3" sheetId="7" r:id="rId8"/>
  </sheets>
  <functionGroups builtInGroupCount="19"/>
  <definedNames>
    <definedName name="_xlnm._FilterDatabase" localSheetId="2" hidden="1">계산작업!$B$3:$G$26</definedName>
    <definedName name="_xlnm._FilterDatabase" localSheetId="1" hidden="1">'기본작업-2'!$A$2:$H$48</definedName>
    <definedName name="_xlnm._FilterDatabase" localSheetId="4" hidden="1">'분석작업-2'!$B$3:$H$8</definedName>
    <definedName name="_xlnm.Criteria" localSheetId="1">'기본작업-2'!#REF!</definedName>
    <definedName name="_xlnm.Extract" localSheetId="1">'기본작업-2'!#REF!</definedName>
    <definedName name="MS_Access_Database_Query_1" localSheetId="1">'기본작업-2'!#REF!</definedName>
    <definedName name="_xlnm.Print_Area" localSheetId="1">'기본작업-2'!$A$2:$H$13,'기본작업-2'!$A$35:$H$48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3" l="1"/>
  <c r="J3" i="8"/>
  <c r="H6" i="3" a="1"/>
  <c r="H8" i="3" a="1"/>
  <c r="H10" i="3" a="1"/>
  <c r="H12" i="3" a="1"/>
  <c r="H14" i="3" a="1"/>
  <c r="H16" i="3" a="1"/>
  <c r="H18" i="3" a="1"/>
  <c r="H20" i="3" a="1"/>
  <c r="H22" i="3" a="1"/>
  <c r="H24" i="3" a="1"/>
  <c r="H26" i="3" a="1"/>
  <c r="H5" i="3" a="1"/>
  <c r="H7" i="3" a="1"/>
  <c r="H9" i="3" a="1"/>
  <c r="H11" i="3" a="1"/>
  <c r="H13" i="3" a="1"/>
  <c r="H15" i="3" a="1"/>
  <c r="H17" i="3" a="1"/>
  <c r="H19" i="3" a="1"/>
  <c r="H21" i="3" a="1"/>
  <c r="H23" i="3" a="1"/>
  <c r="H25" i="3" a="1"/>
  <c r="H4" i="3" a="1"/>
  <c r="H25" i="3" l="1"/>
  <c r="H23" i="3"/>
  <c r="H21" i="3"/>
  <c r="H19" i="3"/>
  <c r="H17" i="3"/>
  <c r="H15" i="3"/>
  <c r="H13" i="3"/>
  <c r="H11" i="3"/>
  <c r="H9" i="3"/>
  <c r="H7" i="3"/>
  <c r="H5" i="3"/>
  <c r="H26" i="3"/>
  <c r="H24" i="3"/>
  <c r="H22" i="3"/>
  <c r="H20" i="3"/>
  <c r="H18" i="3"/>
  <c r="H16" i="3"/>
  <c r="H14" i="3"/>
  <c r="H12" i="3"/>
  <c r="H10" i="3"/>
  <c r="H8" i="3"/>
  <c r="H6" i="3"/>
  <c r="H4" i="3"/>
  <c r="H8" i="5"/>
  <c r="H7" i="5"/>
  <c r="H6" i="5"/>
  <c r="H5" i="5"/>
  <c r="H4" i="5"/>
  <c r="H10" i="5" l="1"/>
  <c r="K5" i="3" l="1" a="1"/>
  <c r="K5" i="3" s="1"/>
  <c r="K6" i="3" a="1"/>
  <c r="K6" i="3"/>
  <c r="K7" i="3" a="1"/>
  <c r="K7" i="3" s="1"/>
  <c r="K8" i="3" a="1"/>
  <c r="K8" i="3" s="1"/>
  <c r="K9" i="3" a="1"/>
  <c r="K9" i="3" s="1"/>
  <c r="K4" i="3" a="1"/>
  <c r="K4" i="3" s="1"/>
  <c r="F31" i="3" l="1"/>
  <c r="F32" i="3"/>
  <c r="F33" i="3"/>
  <c r="F34" i="3"/>
  <c r="F35" i="3"/>
  <c r="F30" i="3"/>
  <c r="K17" i="3" a="1"/>
  <c r="K18" i="3" s="1"/>
  <c r="K19" i="3" l="1"/>
  <c r="K21" i="3"/>
  <c r="K17" i="3"/>
  <c r="K20" i="3"/>
  <c r="H8" i="6" l="1"/>
  <c r="G8" i="6"/>
  <c r="H7" i="6"/>
  <c r="G7" i="6"/>
  <c r="H6" i="6"/>
  <c r="G6" i="6"/>
  <c r="H5" i="6"/>
  <c r="G5" i="6"/>
  <c r="H4" i="6"/>
  <c r="G4" i="6"/>
  <c r="H3" i="6"/>
  <c r="G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인사관리.accdb;DefaultDir=C:\OA;DriverId=25;FIL=MS Access;MaxBufferSize=2048;PageTimeout=5;" command="SELECT 인사고과.사번, 인사고과.이름, 인사고과.생년월일, 인사고과.부서코드, 인사고과.부서명, 인사고과.직위, 인사고과.입사일자, 인사고과.업무달성도, 인사고과.성실성, 인사고과.노력도, 인사고과.의사전달력, 인사고과.점수, 인사고과.평가_x000d__x000a_FROM `C:\OA\인사관리.accdb`.인사고과 인사고과"/>
  </connection>
  <connection id="2" xr16:uid="{00000000-0015-0000-FFFF-FFFF01000000}" name="MS Access Database_Query1" type="1" refreshedVersion="6">
    <dbPr connection="DSN=MS Access Database;DBQ=C:\OA\인사관리.accdb;DefaultDir=C:\OA;DriverId=25;FIL=MS Access;MaxBufferSize=2048;PageTimeout=5;" command="SELECT 인사고과.사번, 인사고과.이름, 인사고과.입사일자, 인사고과.점수, 인사고과.직위, 인사고과.평가_x000d__x000a_FROM `C:\OA\인사관리.accdb`.인사고과 인사고과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<sst xmlns="http://schemas.openxmlformats.org/spreadsheetml/2006/main" count="778" uniqueCount="151">
  <si>
    <t>이름</t>
  </si>
  <si>
    <t>김한응</t>
  </si>
  <si>
    <t>이미라</t>
  </si>
  <si>
    <t>심지영</t>
  </si>
  <si>
    <t>고수정</t>
  </si>
  <si>
    <t>유응구</t>
  </si>
  <si>
    <t>이병열</t>
  </si>
  <si>
    <t>백준걸</t>
  </si>
  <si>
    <t>한미우</t>
  </si>
  <si>
    <t>최재석</t>
  </si>
  <si>
    <t>안성윤</t>
  </si>
  <si>
    <t>하인화</t>
  </si>
  <si>
    <t>[표1]</t>
    <phoneticPr fontId="2" type="noConversion"/>
  </si>
  <si>
    <t>[표2]</t>
    <phoneticPr fontId="2" type="noConversion"/>
  </si>
  <si>
    <t>부서별 평균</t>
    <phoneticPr fontId="2" type="noConversion"/>
  </si>
  <si>
    <t>번호</t>
    <phoneticPr fontId="2" type="noConversion"/>
  </si>
  <si>
    <t>이름</t>
    <phoneticPr fontId="2" type="noConversion"/>
  </si>
  <si>
    <t>부서명</t>
    <phoneticPr fontId="2" type="noConversion"/>
  </si>
  <si>
    <t>총점</t>
    <phoneticPr fontId="2" type="noConversion"/>
  </si>
  <si>
    <t>부서</t>
    <phoneticPr fontId="2" type="noConversion"/>
  </si>
  <si>
    <t>관리부</t>
    <phoneticPr fontId="2" type="noConversion"/>
  </si>
  <si>
    <t>[표3]</t>
    <phoneticPr fontId="2" type="noConversion"/>
  </si>
  <si>
    <t>부서명</t>
    <phoneticPr fontId="2" type="noConversion"/>
  </si>
  <si>
    <t>[표4]</t>
    <phoneticPr fontId="2" type="noConversion"/>
  </si>
  <si>
    <t>빈도수</t>
    <phoneticPr fontId="2" type="noConversion"/>
  </si>
  <si>
    <t>[표5]</t>
    <phoneticPr fontId="2" type="noConversion"/>
  </si>
  <si>
    <t>[표6]</t>
    <phoneticPr fontId="2" type="noConversion"/>
  </si>
  <si>
    <t>이름</t>
    <phoneticPr fontId="2" type="noConversion"/>
  </si>
  <si>
    <t>등급</t>
    <phoneticPr fontId="2" type="noConversion"/>
  </si>
  <si>
    <t>점수</t>
    <phoneticPr fontId="2" type="noConversion"/>
  </si>
  <si>
    <t>E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</si>
  <si>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</si>
  <si>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</si>
  <si>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</si>
  <si>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</si>
  <si>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부서별 비품관리</t>
    <phoneticPr fontId="2" type="noConversion"/>
  </si>
  <si>
    <t>비품</t>
    <phoneticPr fontId="2" type="noConversion"/>
  </si>
  <si>
    <t>지급일</t>
    <phoneticPr fontId="2" type="noConversion"/>
  </si>
  <si>
    <t>보유량</t>
    <phoneticPr fontId="2" type="noConversion"/>
  </si>
  <si>
    <t>요청량</t>
    <phoneticPr fontId="2" type="noConversion"/>
  </si>
  <si>
    <t>사용연수</t>
    <phoneticPr fontId="2" type="noConversion"/>
  </si>
  <si>
    <t>금액</t>
    <phoneticPr fontId="2" type="noConversion"/>
  </si>
  <si>
    <t>판매현황</t>
    <phoneticPr fontId="2" type="noConversion"/>
  </si>
  <si>
    <t>품목</t>
    <phoneticPr fontId="2" type="noConversion"/>
  </si>
  <si>
    <t>판매가</t>
    <phoneticPr fontId="2" type="noConversion"/>
  </si>
  <si>
    <t>전년도판매량</t>
    <phoneticPr fontId="2" type="noConversion"/>
  </si>
  <si>
    <t>목표량</t>
    <phoneticPr fontId="2" type="noConversion"/>
  </si>
  <si>
    <t>판매량</t>
    <phoneticPr fontId="2" type="noConversion"/>
  </si>
  <si>
    <t>달성율</t>
    <phoneticPr fontId="2" type="noConversion"/>
  </si>
  <si>
    <t>판매총액</t>
    <phoneticPr fontId="2" type="noConversion"/>
  </si>
  <si>
    <t>인사고과 입력</t>
    <phoneticPr fontId="2" type="noConversion"/>
  </si>
  <si>
    <t>부서명</t>
    <phoneticPr fontId="2" type="noConversion"/>
  </si>
  <si>
    <t>이름</t>
    <phoneticPr fontId="2" type="noConversion"/>
  </si>
  <si>
    <t>평균</t>
    <phoneticPr fontId="2" type="noConversion"/>
  </si>
  <si>
    <t>부서</t>
    <phoneticPr fontId="2" type="noConversion"/>
  </si>
  <si>
    <t>관리부</t>
  </si>
  <si>
    <t>사번</t>
    <phoneticPr fontId="6" type="noConversion"/>
  </si>
  <si>
    <t>생년월일</t>
  </si>
  <si>
    <t>부서코드</t>
  </si>
  <si>
    <t>부서명</t>
  </si>
  <si>
    <t>직위</t>
  </si>
  <si>
    <t>입사일자</t>
  </si>
  <si>
    <t>고성현</t>
  </si>
  <si>
    <t>T-003</t>
  </si>
  <si>
    <t>사원</t>
  </si>
  <si>
    <t>T-002</t>
  </si>
  <si>
    <t>해외사업부</t>
  </si>
  <si>
    <t>S-001</t>
  </si>
  <si>
    <t>기획부</t>
  </si>
  <si>
    <t>대리</t>
  </si>
  <si>
    <t>T-001</t>
  </si>
  <si>
    <t>기술부</t>
  </si>
  <si>
    <t>문동준</t>
  </si>
  <si>
    <t>S-002</t>
  </si>
  <si>
    <t>인사부</t>
  </si>
  <si>
    <t>김환식</t>
  </si>
  <si>
    <t>황선철</t>
  </si>
  <si>
    <t>S-003</t>
  </si>
  <si>
    <t>총무부</t>
  </si>
  <si>
    <t>권민석</t>
  </si>
  <si>
    <t>고진호</t>
  </si>
  <si>
    <t>이도현</t>
  </si>
  <si>
    <t>박승진</t>
  </si>
  <si>
    <t>심영섭</t>
  </si>
  <si>
    <t>김기웅</t>
  </si>
  <si>
    <t>김재홍</t>
  </si>
  <si>
    <t>박정진</t>
  </si>
  <si>
    <t>박도훈</t>
  </si>
  <si>
    <t>박호석</t>
  </si>
  <si>
    <t>이형태</t>
  </si>
  <si>
    <t>신해나</t>
  </si>
  <si>
    <t>김효영</t>
    <phoneticPr fontId="6" type="noConversion"/>
  </si>
  <si>
    <t>김창수</t>
  </si>
  <si>
    <t>도경민</t>
  </si>
  <si>
    <t>윤보라</t>
  </si>
  <si>
    <t>유재우</t>
    <phoneticPr fontId="6" type="noConversion"/>
  </si>
  <si>
    <t>인정제</t>
  </si>
  <si>
    <t>이원섭</t>
  </si>
  <si>
    <t>이충희</t>
  </si>
  <si>
    <t>김주희</t>
  </si>
  <si>
    <t>안은민</t>
  </si>
  <si>
    <t>윤태성</t>
  </si>
  <si>
    <t>김도현</t>
  </si>
  <si>
    <t>김원종</t>
  </si>
  <si>
    <t>김한솔</t>
  </si>
  <si>
    <t>송정철</t>
  </si>
  <si>
    <t>김준섭</t>
  </si>
  <si>
    <t>박제현</t>
  </si>
  <si>
    <t>배무현</t>
  </si>
  <si>
    <t>김민환</t>
  </si>
  <si>
    <t>고과점수</t>
    <phoneticPr fontId="2" type="noConversion"/>
  </si>
  <si>
    <t>업무달성도</t>
  </si>
  <si>
    <t>성실성</t>
  </si>
  <si>
    <t>노력도</t>
  </si>
  <si>
    <t>의사전달력</t>
  </si>
  <si>
    <t>김효영</t>
  </si>
  <si>
    <t>해외사업부</t>
    <phoneticPr fontId="2" type="noConversion"/>
  </si>
  <si>
    <t>기획부</t>
    <phoneticPr fontId="2" type="noConversion"/>
  </si>
  <si>
    <t>기술부</t>
    <phoneticPr fontId="2" type="noConversion"/>
  </si>
  <si>
    <t>인사부</t>
    <phoneticPr fontId="2" type="noConversion"/>
  </si>
  <si>
    <t>총무부</t>
    <phoneticPr fontId="2" type="noConversion"/>
  </si>
  <si>
    <t>업무달성도</t>
    <phoneticPr fontId="2" type="noConversion"/>
  </si>
  <si>
    <t>레깅스</t>
    <phoneticPr fontId="2" type="noConversion"/>
  </si>
  <si>
    <t>티셔츠</t>
    <phoneticPr fontId="2" type="noConversion"/>
  </si>
  <si>
    <t>조끼</t>
    <phoneticPr fontId="2" type="noConversion"/>
  </si>
  <si>
    <t>모자</t>
    <phoneticPr fontId="2" type="noConversion"/>
  </si>
  <si>
    <t>액세서리</t>
    <phoneticPr fontId="2" type="noConversion"/>
  </si>
  <si>
    <t>신발</t>
    <phoneticPr fontId="2" type="noConversion"/>
  </si>
  <si>
    <t>업무달성도</t>
    <phoneticPr fontId="2" type="noConversion"/>
  </si>
  <si>
    <t>성실성</t>
    <phoneticPr fontId="2" type="noConversion"/>
  </si>
  <si>
    <t>의사전달력이 가장 높은 사람</t>
    <phoneticPr fontId="2" type="noConversion"/>
  </si>
  <si>
    <t>기획부</t>
    <phoneticPr fontId="2" type="noConversion"/>
  </si>
  <si>
    <t>업무달성도 빈도수</t>
    <phoneticPr fontId="2" type="noConversion"/>
  </si>
  <si>
    <t>조건</t>
    <phoneticPr fontId="2" type="noConversion"/>
  </si>
  <si>
    <t>업무달성도 평균</t>
    <phoneticPr fontId="2" type="noConversion"/>
  </si>
  <si>
    <t>총합계</t>
  </si>
  <si>
    <t>2012년</t>
  </si>
  <si>
    <t>2013년</t>
  </si>
  <si>
    <t>2014년</t>
  </si>
  <si>
    <t>2015년</t>
  </si>
  <si>
    <t>2016년</t>
  </si>
  <si>
    <t>2017년</t>
  </si>
  <si>
    <t>2018년</t>
  </si>
  <si>
    <t>2019년</t>
  </si>
  <si>
    <t>전체비율</t>
  </si>
  <si>
    <t>합계</t>
    <phoneticPr fontId="2" type="noConversion"/>
  </si>
  <si>
    <t>이규림</t>
  </si>
  <si>
    <t>80</t>
  </si>
  <si>
    <t>90</t>
  </si>
  <si>
    <t>(비어 있음)</t>
  </si>
  <si>
    <t>합계 : 점수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</si>
</sst>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0_);[Red]\(#,##0\)"/>
    <numFmt numFmtId="178" formatCode="[&gt;=70]\ \△0.0;[Red][&lt;70]\▽0.0"/>
  </numFmts>
  <fonts count="10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3"/>
    </font>
    <font>
      <b/>
      <sz val="14"/>
      <name val="맑은 고딕"/>
      <family val="3"/>
      <charset val="129"/>
      <scheme val="minor"/>
    </font>
    <font>
      <sz val="11"/>
      <color rgb="FF000000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>
      <alignment vertical="center"/>
    </xf>
  </cellStyleXfs>
  <cellXfs count="28">
    <xf numFmtId="0" fontId="0" fillId="0" borderId="0" xfId="0"/>
    <xf numFmtId="0" fontId="3" fillId="0" borderId="0" xfId="0" applyFont="1"/>
    <xf numFmtId="0" fontId="4" fillId="0" borderId="1" xfId="0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176" fontId="3" fillId="0" borderId="1" xfId="1" applyNumberFormat="1" applyFont="1" applyFill="1" applyBorder="1" applyAlignment="1">
      <alignment horizontal="right" vertical="center"/>
    </xf>
    <xf numFmtId="177" fontId="3" fillId="0" borderId="1" xfId="1" applyNumberFormat="1" applyFont="1" applyFill="1" applyBorder="1" applyAlignment="1">
      <alignment horizontal="right" vertical="center"/>
    </xf>
    <xf numFmtId="9" fontId="5" fillId="0" borderId="1" xfId="3" applyFont="1" applyFill="1" applyBorder="1" applyAlignment="1">
      <alignment horizontal="right"/>
    </xf>
    <xf numFmtId="0" fontId="3" fillId="0" borderId="1" xfId="2" applyNumberFormat="1" applyFont="1" applyFill="1" applyBorder="1"/>
    <xf numFmtId="14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9" fontId="4" fillId="0" borderId="1" xfId="0" applyNumberFormat="1" applyFont="1" applyBorder="1" applyAlignment="1">
      <alignment horizontal="center"/>
    </xf>
    <xf numFmtId="0" fontId="3" fillId="0" borderId="1" xfId="4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0" xfId="0" pivotButton="1"/>
    <xf numFmtId="10" fontId="0" fillId="0" borderId="0" xfId="0" applyNumberFormat="1"/>
    <xf numFmtId="41" fontId="3" fillId="0" borderId="1" xfId="0" applyNumberFormat="1" applyFont="1" applyBorder="1"/>
    <xf numFmtId="0" fontId="4" fillId="4" borderId="1" xfId="0" applyFont="1" applyFill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5">
    <cellStyle name="백분율" xfId="3" builtinId="5"/>
    <cellStyle name="쉼표 [0]" xfId="1" builtinId="6"/>
    <cellStyle name="통화 [0]" xfId="2" builtinId="7"/>
    <cellStyle name="표준" xfId="0" builtinId="0"/>
    <cellStyle name="표준 2" xfId="4" xr:uid="{00000000-0005-0000-0000-000004000000}"/>
  </cellStyles>
  <dxfs count="3"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font>
        <b/>
        <i val="0"/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'기타작업-1'!$D$2</c:f>
              <c:strCache>
                <c:ptCount val="1"/>
                <c:pt idx="0">
                  <c:v>전년도판매량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'기타작업-1'!$B$3:$B$8</c:f>
              <c:strCache>
                <c:ptCount val="6"/>
                <c:pt idx="0">
                  <c:v>레깅스</c:v>
                </c:pt>
                <c:pt idx="1">
                  <c:v>티셔츠</c:v>
                </c:pt>
                <c:pt idx="2">
                  <c:v>조끼</c:v>
                </c:pt>
                <c:pt idx="3">
                  <c:v>모자</c:v>
                </c:pt>
                <c:pt idx="4">
                  <c:v>액세서리</c:v>
                </c:pt>
                <c:pt idx="5">
                  <c:v>신발</c:v>
                </c:pt>
              </c:strCache>
            </c:strRef>
          </c:cat>
          <c:val>
            <c:numRef>
              <c:f>'기타작업-1'!$D$3:$D$8</c:f>
              <c:numCache>
                <c:formatCode>#,##0_ </c:formatCode>
                <c:ptCount val="6"/>
                <c:pt idx="0">
                  <c:v>500</c:v>
                </c:pt>
                <c:pt idx="1">
                  <c:v>450</c:v>
                </c:pt>
                <c:pt idx="2">
                  <c:v>500</c:v>
                </c:pt>
                <c:pt idx="3">
                  <c:v>400</c:v>
                </c:pt>
                <c:pt idx="4">
                  <c:v>250</c:v>
                </c:pt>
                <c:pt idx="5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1-490B-8683-4F0C4C1F4609}"/>
            </c:ext>
          </c:extLst>
        </c:ser>
        <c:ser>
          <c:idx val="1"/>
          <c:order val="1"/>
          <c:tx>
            <c:strRef>
              <c:f>'기타작업-1'!$E$2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'기타작업-1'!$B$3:$B$8</c:f>
              <c:strCache>
                <c:ptCount val="6"/>
                <c:pt idx="0">
                  <c:v>레깅스</c:v>
                </c:pt>
                <c:pt idx="1">
                  <c:v>티셔츠</c:v>
                </c:pt>
                <c:pt idx="2">
                  <c:v>조끼</c:v>
                </c:pt>
                <c:pt idx="3">
                  <c:v>모자</c:v>
                </c:pt>
                <c:pt idx="4">
                  <c:v>액세서리</c:v>
                </c:pt>
                <c:pt idx="5">
                  <c:v>신발</c:v>
                </c:pt>
              </c:strCache>
            </c:strRef>
          </c:cat>
          <c:val>
            <c:numRef>
              <c:f>'기타작업-1'!$E$3:$E$8</c:f>
              <c:numCache>
                <c:formatCode>#,##0_);[Red]\(#,##0\)</c:formatCode>
                <c:ptCount val="6"/>
                <c:pt idx="0">
                  <c:v>800</c:v>
                </c:pt>
                <c:pt idx="1">
                  <c:v>600</c:v>
                </c:pt>
                <c:pt idx="2">
                  <c:v>550</c:v>
                </c:pt>
                <c:pt idx="3">
                  <c:v>500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A1-490B-8683-4F0C4C1F4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50"/>
        <c:axId val="2052320799"/>
        <c:axId val="2127280271"/>
      </c:barChart>
      <c:lineChart>
        <c:grouping val="standard"/>
        <c:varyColors val="0"/>
        <c:ser>
          <c:idx val="2"/>
          <c:order val="2"/>
          <c:tx>
            <c:strRef>
              <c:f>'기타작업-1'!$F$2</c:f>
              <c:strCache>
                <c:ptCount val="1"/>
                <c:pt idx="0">
                  <c:v>판매량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'기타작업-1'!$B$3:$B$8</c:f>
              <c:strCache>
                <c:ptCount val="6"/>
                <c:pt idx="0">
                  <c:v>레깅스</c:v>
                </c:pt>
                <c:pt idx="1">
                  <c:v>티셔츠</c:v>
                </c:pt>
                <c:pt idx="2">
                  <c:v>조끼</c:v>
                </c:pt>
                <c:pt idx="3">
                  <c:v>모자</c:v>
                </c:pt>
                <c:pt idx="4">
                  <c:v>액세서리</c:v>
                </c:pt>
                <c:pt idx="5">
                  <c:v>신발</c:v>
                </c:pt>
              </c:strCache>
            </c:strRef>
          </c:cat>
          <c:val>
            <c:numRef>
              <c:f>'기타작업-1'!$F$3:$F$8</c:f>
              <c:numCache>
                <c:formatCode>#,##0_);[Red]\(#,##0\)</c:formatCode>
                <c:ptCount val="6"/>
                <c:pt idx="0">
                  <c:v>880</c:v>
                </c:pt>
                <c:pt idx="1">
                  <c:v>560</c:v>
                </c:pt>
                <c:pt idx="2">
                  <c:v>620</c:v>
                </c:pt>
                <c:pt idx="3">
                  <c:v>540</c:v>
                </c:pt>
                <c:pt idx="4">
                  <c:v>300</c:v>
                </c:pt>
                <c:pt idx="5">
                  <c:v>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A1-490B-8683-4F0C4C1F4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8780751"/>
        <c:axId val="1628771183"/>
      </c:lineChart>
      <c:catAx>
        <c:axId val="205232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7280271"/>
        <c:crosses val="autoZero"/>
        <c:auto val="1"/>
        <c:lblAlgn val="ctr"/>
        <c:lblOffset val="100"/>
        <c:noMultiLvlLbl val="0"/>
      </c:catAx>
      <c:valAx>
        <c:axId val="21272802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2320799"/>
        <c:crosses val="autoZero"/>
        <c:crossBetween val="between"/>
        <c:majorUnit val="300"/>
      </c:valAx>
      <c:valAx>
        <c:axId val="1628771183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8780751"/>
        <c:crosses val="max"/>
        <c:crossBetween val="between"/>
      </c:valAx>
      <c:catAx>
        <c:axId val="1628780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287711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213360</xdr:rowOff>
    </xdr:from>
    <xdr:to>
      <xdr:col>9</xdr:col>
      <xdr:colOff>0</xdr:colOff>
      <xdr:row>24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152400</xdr:rowOff>
        </xdr:from>
        <xdr:to>
          <xdr:col>7</xdr:col>
          <xdr:colOff>409575</xdr:colOff>
          <xdr:row>2</xdr:row>
          <xdr:rowOff>76200</xdr:rowOff>
        </xdr:to>
        <xdr:sp macro="" textlink="">
          <xdr:nvSpPr>
            <xdr:cNvPr id="2049" name="인사고과입력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남오" refreshedDate="44133.746857986109" createdVersion="6" refreshedVersion="6" minRefreshableVersion="3" recordCount="58" xr:uid="{00000000-000A-0000-FFFF-FFFF0F000000}">
  <cacheSource type="external" connectionId="2"/>
  <cacheFields count="6">
    <cacheField name="사번" numFmtId="0" sqlType="8">
      <sharedItems containsString="0" containsBlank="1" containsNumber="1" containsInteger="1" minValue="201101" maxValue="202315"/>
    </cacheField>
    <cacheField name="이름" numFmtId="0" sqlType="-9">
      <sharedItems containsBlank="1"/>
    </cacheField>
    <cacheField name="입사일자" numFmtId="0" sqlType="11">
      <sharedItems containsNonDate="0" containsDate="1" containsString="0" containsBlank="1" minDate="2012-02-02T00:00:00" maxDate="2019-07-03T00:00:00" count="27">
        <d v="2017-07-02T00:00:00"/>
        <d v="2016-03-02T00:00:00"/>
        <d v="2013-10-02T00:00:00"/>
        <d v="2019-07-02T00:00:00"/>
        <d v="2018-10-15T00:00:00"/>
        <d v="2014-12-20T00:00:00"/>
        <d v="2013-07-02T00:00:00"/>
        <d v="2019-04-01T00:00:00"/>
        <d v="2016-02-02T00:00:00"/>
        <d v="2013-09-02T00:00:00"/>
        <d v="2018-05-15T00:00:00"/>
        <d v="2018-09-02T00:00:00"/>
        <d v="2016-07-02T00:00:00"/>
        <d v="2014-08-15T00:00:00"/>
        <d v="2014-09-02T00:00:00"/>
        <d v="2016-05-15T00:00:00"/>
        <d v="2014-02-03T00:00:00"/>
        <d v="2013-05-10T00:00:00"/>
        <d v="2017-10-15T00:00:00"/>
        <d v="2019-03-02T00:00:00"/>
        <d v="2015-02-02T00:00:00"/>
        <d v="2012-02-02T00:00:00"/>
        <d v="2015-03-02T00:00:00"/>
        <d v="2017-03-02T00:00:00"/>
        <d v="2014-05-15T00:00:00"/>
        <d v="2018-07-02T00:00:00"/>
        <m/>
      </sharedItems>
      <fieldGroup base="2">
        <rangePr groupBy="years" startDate="2012-02-02T00:00:00" endDate="2019-07-03T00:00:00"/>
        <groupItems count="10">
          <s v="(비어 있음)"/>
          <s v="2012년"/>
          <s v="2013년"/>
          <s v="2014년"/>
          <s v="2015년"/>
          <s v="2016년"/>
          <s v="2017년"/>
          <s v="2018년"/>
          <s v="2019년"/>
          <s v="&gt;2019-07-03"/>
        </groupItems>
      </fieldGroup>
    </cacheField>
    <cacheField name="점수" numFmtId="0" sqlType="8">
      <sharedItems containsString="0" containsBlank="1" containsNumber="1" minValue="65.25" maxValue="93.5"/>
    </cacheField>
    <cacheField name="직위" numFmtId="0" sqlType="-9">
      <sharedItems containsBlank="1" count="3">
        <s v="사원"/>
        <s v="대리"/>
        <m/>
      </sharedItems>
    </cacheField>
    <cacheField name="평가" numFmtId="0" sqlType="-9">
      <sharedItems containsBlank="1" count="5">
        <s v="C"/>
        <s v="B"/>
        <s v="A"/>
        <s v="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">
  <r>
    <n v="202305"/>
    <s v="고성현"/>
    <x v="0"/>
    <n v="73.25"/>
    <x v="0"/>
    <x v="0"/>
  </r>
  <r>
    <n v="202204"/>
    <s v="한미우"/>
    <x v="1"/>
    <n v="74.5"/>
    <x v="0"/>
    <x v="0"/>
  </r>
  <r>
    <n v="201110"/>
    <s v="안성윤"/>
    <x v="2"/>
    <n v="82.5"/>
    <x v="1"/>
    <x v="1"/>
  </r>
  <r>
    <n v="202101"/>
    <s v="백준걸"/>
    <x v="1"/>
    <n v="74.5"/>
    <x v="0"/>
    <x v="0"/>
  </r>
  <r>
    <n v="201309"/>
    <s v="문동준"/>
    <x v="3"/>
    <n v="90.5"/>
    <x v="0"/>
    <x v="2"/>
  </r>
  <r>
    <n v="202209"/>
    <s v="김환식"/>
    <x v="4"/>
    <n v="85.5"/>
    <x v="0"/>
    <x v="1"/>
  </r>
  <r>
    <n v="201111"/>
    <s v="황선철"/>
    <x v="5"/>
    <n v="69.5"/>
    <x v="1"/>
    <x v="3"/>
  </r>
  <r>
    <n v="201207"/>
    <s v="김한응"/>
    <x v="6"/>
    <n v="86.25"/>
    <x v="1"/>
    <x v="1"/>
  </r>
  <r>
    <n v="202209"/>
    <s v="권민석"/>
    <x v="7"/>
    <n v="81.25"/>
    <x v="0"/>
    <x v="1"/>
  </r>
  <r>
    <n v="201112"/>
    <s v="유응구"/>
    <x v="8"/>
    <n v="81"/>
    <x v="1"/>
    <x v="1"/>
  </r>
  <r>
    <n v="201117"/>
    <s v="고진호"/>
    <x v="6"/>
    <n v="90.5"/>
    <x v="1"/>
    <x v="2"/>
  </r>
  <r>
    <n v="201103"/>
    <s v="이도현"/>
    <x v="9"/>
    <n v="86.5"/>
    <x v="1"/>
    <x v="1"/>
  </r>
  <r>
    <n v="202205"/>
    <s v="하인화"/>
    <x v="10"/>
    <n v="81.25"/>
    <x v="0"/>
    <x v="1"/>
  </r>
  <r>
    <n v="201109"/>
    <s v="이병열"/>
    <x v="11"/>
    <n v="77"/>
    <x v="0"/>
    <x v="0"/>
  </r>
  <r>
    <n v="201211"/>
    <s v="박승진"/>
    <x v="9"/>
    <n v="78.5"/>
    <x v="1"/>
    <x v="0"/>
  </r>
  <r>
    <n v="201135"/>
    <s v="심영섭"/>
    <x v="12"/>
    <n v="69.5"/>
    <x v="1"/>
    <x v="3"/>
  </r>
  <r>
    <n v="201119"/>
    <s v="김기웅"/>
    <x v="13"/>
    <n v="79.75"/>
    <x v="1"/>
    <x v="0"/>
  </r>
  <r>
    <n v="201105"/>
    <s v="이미라"/>
    <x v="14"/>
    <n v="84"/>
    <x v="1"/>
    <x v="1"/>
  </r>
  <r>
    <n v="201121"/>
    <s v="김재홍"/>
    <x v="7"/>
    <n v="77.25"/>
    <x v="0"/>
    <x v="0"/>
  </r>
  <r>
    <n v="202103"/>
    <s v="박정진"/>
    <x v="15"/>
    <n v="66.5"/>
    <x v="0"/>
    <x v="3"/>
  </r>
  <r>
    <n v="201125"/>
    <s v="박도훈"/>
    <x v="16"/>
    <n v="88"/>
    <x v="1"/>
    <x v="1"/>
  </r>
  <r>
    <n v="201311"/>
    <s v="박호석"/>
    <x v="4"/>
    <n v="91.75"/>
    <x v="0"/>
    <x v="2"/>
  </r>
  <r>
    <n v="201108"/>
    <s v="이형태"/>
    <x v="17"/>
    <n v="88.25"/>
    <x v="1"/>
    <x v="1"/>
  </r>
  <r>
    <n v="202315"/>
    <s v="신해나"/>
    <x v="18"/>
    <n v="82.5"/>
    <x v="0"/>
    <x v="1"/>
  </r>
  <r>
    <n v="201116"/>
    <s v="김효영"/>
    <x v="14"/>
    <n v="68"/>
    <x v="1"/>
    <x v="3"/>
  </r>
  <r>
    <n v="202210"/>
    <s v="김창수"/>
    <x v="9"/>
    <n v="93.5"/>
    <x v="1"/>
    <x v="2"/>
  </r>
  <r>
    <n v="201202"/>
    <s v="도경민"/>
    <x v="9"/>
    <n v="90.5"/>
    <x v="1"/>
    <x v="2"/>
  </r>
  <r>
    <n v="202301"/>
    <s v="고수정"/>
    <x v="9"/>
    <n v="76"/>
    <x v="1"/>
    <x v="0"/>
  </r>
  <r>
    <n v="202207"/>
    <s v="윤보라"/>
    <x v="19"/>
    <n v="93.25"/>
    <x v="0"/>
    <x v="2"/>
  </r>
  <r>
    <n v="201204"/>
    <s v="유재우"/>
    <x v="1"/>
    <n v="76.75"/>
    <x v="0"/>
    <x v="0"/>
  </r>
  <r>
    <n v="201304"/>
    <s v="인정제"/>
    <x v="20"/>
    <n v="82.5"/>
    <x v="1"/>
    <x v="1"/>
  </r>
  <r>
    <n v="201115"/>
    <s v="이원섭"/>
    <x v="9"/>
    <n v="86"/>
    <x v="1"/>
    <x v="1"/>
  </r>
  <r>
    <n v="201113"/>
    <s v="이충희"/>
    <x v="0"/>
    <n v="75.25"/>
    <x v="1"/>
    <x v="0"/>
  </r>
  <r>
    <n v="201303"/>
    <s v="심지영"/>
    <x v="2"/>
    <n v="81.5"/>
    <x v="1"/>
    <x v="1"/>
  </r>
  <r>
    <n v="202109"/>
    <s v="김주희"/>
    <x v="1"/>
    <n v="73.75"/>
    <x v="0"/>
    <x v="0"/>
  </r>
  <r>
    <n v="201106"/>
    <s v="안은민"/>
    <x v="21"/>
    <n v="92.25"/>
    <x v="1"/>
    <x v="2"/>
  </r>
  <r>
    <n v="202303"/>
    <s v="윤태성"/>
    <x v="22"/>
    <n v="76.5"/>
    <x v="1"/>
    <x v="0"/>
  </r>
  <r>
    <n v="201209"/>
    <s v="김도현"/>
    <x v="8"/>
    <n v="81.5"/>
    <x v="1"/>
    <x v="1"/>
  </r>
  <r>
    <n v="202309"/>
    <s v="김원종"/>
    <x v="23"/>
    <n v="76.75"/>
    <x v="0"/>
    <x v="0"/>
  </r>
  <r>
    <n v="201101"/>
    <s v="최재석"/>
    <x v="1"/>
    <n v="86"/>
    <x v="0"/>
    <x v="1"/>
  </r>
  <r>
    <n v="201123"/>
    <s v="김한솔"/>
    <x v="24"/>
    <n v="65.25"/>
    <x v="1"/>
    <x v="3"/>
  </r>
  <r>
    <n v="201132"/>
    <s v="송정철"/>
    <x v="9"/>
    <n v="75"/>
    <x v="1"/>
    <x v="0"/>
  </r>
  <r>
    <n v="201122"/>
    <s v="김준섭"/>
    <x v="25"/>
    <n v="83"/>
    <x v="0"/>
    <x v="1"/>
  </r>
  <r>
    <n v="202112"/>
    <s v="박제현"/>
    <x v="25"/>
    <n v="86"/>
    <x v="0"/>
    <x v="1"/>
  </r>
  <r>
    <n v="201130"/>
    <s v="배무현"/>
    <x v="8"/>
    <n v="85.5"/>
    <x v="0"/>
    <x v="1"/>
  </r>
  <r>
    <n v="202304"/>
    <s v="김민환"/>
    <x v="23"/>
    <n v="80.5"/>
    <x v="0"/>
    <x v="1"/>
  </r>
  <r>
    <m/>
    <m/>
    <x v="26"/>
    <m/>
    <x v="2"/>
    <x v="4"/>
  </r>
  <r>
    <m/>
    <m/>
    <x v="26"/>
    <m/>
    <x v="2"/>
    <x v="4"/>
  </r>
  <r>
    <m/>
    <m/>
    <x v="26"/>
    <m/>
    <x v="2"/>
    <x v="4"/>
  </r>
  <r>
    <m/>
    <m/>
    <x v="26"/>
    <m/>
    <x v="2"/>
    <x v="4"/>
  </r>
  <r>
    <m/>
    <m/>
    <x v="26"/>
    <m/>
    <x v="2"/>
    <x v="4"/>
  </r>
  <r>
    <m/>
    <m/>
    <x v="26"/>
    <m/>
    <x v="2"/>
    <x v="4"/>
  </r>
  <r>
    <m/>
    <m/>
    <x v="26"/>
    <m/>
    <x v="2"/>
    <x v="4"/>
  </r>
  <r>
    <m/>
    <m/>
    <x v="26"/>
    <m/>
    <x v="2"/>
    <x v="4"/>
  </r>
  <r>
    <m/>
    <m/>
    <x v="26"/>
    <m/>
    <x v="2"/>
    <x v="4"/>
  </r>
  <r>
    <m/>
    <m/>
    <x v="26"/>
    <m/>
    <x v="2"/>
    <x v="4"/>
  </r>
  <r>
    <m/>
    <m/>
    <x v="26"/>
    <m/>
    <x v="2"/>
    <x v="4"/>
  </r>
  <r>
    <m/>
    <m/>
    <x v="26"/>
    <m/>
    <x v="2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B2:E17" firstHeaderRow="0" firstDataRow="1" firstDataCol="2"/>
  <pivotFields count="6">
    <pivotField compact="0" showAll="0"/>
    <pivotField compact="0" showAll="0"/>
    <pivotField axis="axisRow" compact="0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compact="0" showAll="0"/>
    <pivotField axis="axisRow" compact="0" showAll="0">
      <items count="4">
        <item x="1"/>
        <item x="0"/>
        <item x="2"/>
        <item t="default"/>
      </items>
    </pivotField>
    <pivotField compact="0" showAll="0"/>
  </pivotFields>
  <rowFields count="2">
    <field x="4"/>
    <field x="2"/>
  </rowFields>
  <rowItems count="15">
    <i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</i>
    <i r="1">
      <x v="5"/>
    </i>
    <i r="1">
      <x v="6"/>
    </i>
    <i r="1">
      <x v="7"/>
    </i>
    <i r="1">
      <x v="8"/>
    </i>
    <i>
      <x v="2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합계 : 점수" fld="3" baseField="4" baseItem="0"/>
    <dataField name="전체비율" fld="3" showDataAs="percentOfTotal" baseField="2" baseItem="1" numFmtId="10"/>
  </dataFields>
  <pivotTableStyleInfo name="PivotStyleLight9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0"/>
  <sheetViews>
    <sheetView workbookViewId="0"/>
  </sheetViews>
  <sheetFormatPr defaultRowHeight="13.5"/>
  <cols>
    <col min="1" max="1" width="8.88671875" bestFit="1" customWidth="1"/>
    <col min="3" max="3" width="10.88671875" bestFit="1" customWidth="1"/>
    <col min="5" max="5" width="10.44140625" bestFit="1" customWidth="1"/>
    <col min="7" max="7" width="10.88671875" bestFit="1" customWidth="1"/>
    <col min="8" max="8" width="8.88671875" bestFit="1" customWidth="1"/>
  </cols>
  <sheetData>
    <row r="1" spans="1:13" ht="16.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</row>
    <row r="2" spans="1:13" ht="16.5">
      <c r="A2" s="20" t="s">
        <v>56</v>
      </c>
      <c r="B2" s="20" t="s">
        <v>0</v>
      </c>
      <c r="C2" s="20" t="s">
        <v>57</v>
      </c>
      <c r="D2" s="20" t="s">
        <v>58</v>
      </c>
      <c r="E2" s="20" t="s">
        <v>59</v>
      </c>
      <c r="F2" s="20" t="s">
        <v>60</v>
      </c>
      <c r="G2" s="20" t="s">
        <v>61</v>
      </c>
      <c r="H2" s="20" t="s">
        <v>110</v>
      </c>
      <c r="I2" s="16"/>
      <c r="J2" s="16" t="s">
        <v>133</v>
      </c>
      <c r="K2" s="16"/>
      <c r="L2" s="16"/>
      <c r="M2" s="16"/>
    </row>
    <row r="3" spans="1:13" ht="16.5">
      <c r="A3" s="6">
        <v>202305</v>
      </c>
      <c r="B3" s="19" t="s">
        <v>62</v>
      </c>
      <c r="C3" s="11">
        <v>33510</v>
      </c>
      <c r="D3" s="6" t="s">
        <v>63</v>
      </c>
      <c r="E3" s="6" t="s">
        <v>55</v>
      </c>
      <c r="F3" s="6" t="s">
        <v>64</v>
      </c>
      <c r="G3" s="11">
        <v>42918</v>
      </c>
      <c r="H3" s="6">
        <v>73.25</v>
      </c>
      <c r="I3" s="16"/>
      <c r="J3" s="16" t="b">
        <f>AND(_xlfn.RANK.EQ(H3,$H$3:$H$48)&gt;=5,_xlfn.RANK.EQ(H3,$H$3:$H$48)&lt;=15)</f>
        <v>0</v>
      </c>
      <c r="K3" s="16"/>
      <c r="L3" s="16"/>
      <c r="M3" s="16"/>
    </row>
    <row r="4" spans="1:13" ht="16.5">
      <c r="A4" s="6">
        <v>202204</v>
      </c>
      <c r="B4" s="6" t="s">
        <v>8</v>
      </c>
      <c r="C4" s="11">
        <v>33544</v>
      </c>
      <c r="D4" s="6" t="s">
        <v>65</v>
      </c>
      <c r="E4" s="6" t="s">
        <v>66</v>
      </c>
      <c r="F4" s="6" t="s">
        <v>64</v>
      </c>
      <c r="G4" s="11">
        <v>42431</v>
      </c>
      <c r="H4" s="6">
        <v>74.5</v>
      </c>
      <c r="I4" s="16"/>
      <c r="J4" s="16"/>
      <c r="K4" s="16"/>
      <c r="L4" s="16"/>
      <c r="M4" s="16"/>
    </row>
    <row r="5" spans="1:13" ht="16.5">
      <c r="A5" s="6">
        <v>201110</v>
      </c>
      <c r="B5" s="6" t="s">
        <v>10</v>
      </c>
      <c r="C5" s="11">
        <v>32297</v>
      </c>
      <c r="D5" s="6" t="s">
        <v>67</v>
      </c>
      <c r="E5" s="6" t="s">
        <v>68</v>
      </c>
      <c r="F5" s="6" t="s">
        <v>69</v>
      </c>
      <c r="G5" s="11">
        <v>41549</v>
      </c>
      <c r="H5" s="6">
        <v>82.5</v>
      </c>
      <c r="I5" s="16"/>
      <c r="J5" s="16"/>
      <c r="K5" s="16"/>
      <c r="L5" s="16"/>
      <c r="M5" s="16"/>
    </row>
    <row r="6" spans="1:13" ht="16.5">
      <c r="A6" s="6">
        <v>202101</v>
      </c>
      <c r="B6" s="6" t="s">
        <v>7</v>
      </c>
      <c r="C6" s="11">
        <v>30438</v>
      </c>
      <c r="D6" s="6" t="s">
        <v>70</v>
      </c>
      <c r="E6" s="6" t="s">
        <v>71</v>
      </c>
      <c r="F6" s="6" t="s">
        <v>64</v>
      </c>
      <c r="G6" s="11">
        <v>42431</v>
      </c>
      <c r="H6" s="6">
        <v>74.5</v>
      </c>
      <c r="I6" s="16"/>
      <c r="J6" s="20" t="s">
        <v>0</v>
      </c>
      <c r="K6" s="20" t="s">
        <v>59</v>
      </c>
      <c r="L6" s="20" t="s">
        <v>60</v>
      </c>
      <c r="M6" s="20" t="s">
        <v>110</v>
      </c>
    </row>
    <row r="7" spans="1:13" ht="16.5">
      <c r="A7" s="6">
        <v>201309</v>
      </c>
      <c r="B7" s="19" t="s">
        <v>72</v>
      </c>
      <c r="C7" s="11">
        <v>28561</v>
      </c>
      <c r="D7" s="6" t="s">
        <v>73</v>
      </c>
      <c r="E7" s="6" t="s">
        <v>74</v>
      </c>
      <c r="F7" s="6" t="s">
        <v>64</v>
      </c>
      <c r="G7" s="11">
        <v>43648</v>
      </c>
      <c r="H7" s="6">
        <v>90.5</v>
      </c>
      <c r="I7" s="16"/>
      <c r="J7" s="19" t="s">
        <v>72</v>
      </c>
      <c r="K7" s="6" t="s">
        <v>74</v>
      </c>
      <c r="L7" s="6" t="s">
        <v>64</v>
      </c>
      <c r="M7" s="6">
        <v>90.5</v>
      </c>
    </row>
    <row r="8" spans="1:13" ht="16.5">
      <c r="A8" s="6">
        <v>202209</v>
      </c>
      <c r="B8" s="6" t="s">
        <v>75</v>
      </c>
      <c r="C8" s="11">
        <v>31718</v>
      </c>
      <c r="D8" s="6" t="s">
        <v>65</v>
      </c>
      <c r="E8" s="6" t="s">
        <v>66</v>
      </c>
      <c r="F8" s="6" t="s">
        <v>64</v>
      </c>
      <c r="G8" s="11">
        <v>43388</v>
      </c>
      <c r="H8" s="6">
        <v>85.5</v>
      </c>
      <c r="I8" s="16"/>
      <c r="J8" s="6" t="s">
        <v>75</v>
      </c>
      <c r="K8" s="6" t="s">
        <v>66</v>
      </c>
      <c r="L8" s="6" t="s">
        <v>64</v>
      </c>
      <c r="M8" s="6">
        <v>85.5</v>
      </c>
    </row>
    <row r="9" spans="1:13" ht="16.5">
      <c r="A9" s="6">
        <v>201111</v>
      </c>
      <c r="B9" s="6" t="s">
        <v>76</v>
      </c>
      <c r="C9" s="11">
        <v>33649</v>
      </c>
      <c r="D9" s="6" t="s">
        <v>67</v>
      </c>
      <c r="E9" s="6" t="s">
        <v>68</v>
      </c>
      <c r="F9" s="6" t="s">
        <v>69</v>
      </c>
      <c r="G9" s="11">
        <v>41993</v>
      </c>
      <c r="H9" s="6">
        <v>69.5</v>
      </c>
      <c r="I9" s="16"/>
      <c r="J9" s="6" t="s">
        <v>1</v>
      </c>
      <c r="K9" s="6" t="s">
        <v>78</v>
      </c>
      <c r="L9" s="6" t="s">
        <v>69</v>
      </c>
      <c r="M9" s="6">
        <v>86.25</v>
      </c>
    </row>
    <row r="10" spans="1:13" ht="16.5">
      <c r="A10" s="6">
        <v>201207</v>
      </c>
      <c r="B10" s="6" t="s">
        <v>1</v>
      </c>
      <c r="C10" s="11">
        <v>30104</v>
      </c>
      <c r="D10" s="6" t="s">
        <v>77</v>
      </c>
      <c r="E10" s="6" t="s">
        <v>78</v>
      </c>
      <c r="F10" s="6" t="s">
        <v>69</v>
      </c>
      <c r="G10" s="11">
        <v>41457</v>
      </c>
      <c r="H10" s="6">
        <v>86.25</v>
      </c>
      <c r="I10" s="16"/>
      <c r="J10" s="19" t="s">
        <v>80</v>
      </c>
      <c r="K10" s="6" t="s">
        <v>68</v>
      </c>
      <c r="L10" s="6" t="s">
        <v>69</v>
      </c>
      <c r="M10" s="6">
        <v>90.5</v>
      </c>
    </row>
    <row r="11" spans="1:13" ht="16.5">
      <c r="A11" s="6">
        <v>202209</v>
      </c>
      <c r="B11" s="19" t="s">
        <v>79</v>
      </c>
      <c r="C11" s="11">
        <v>33991</v>
      </c>
      <c r="D11" s="6" t="s">
        <v>65</v>
      </c>
      <c r="E11" s="6" t="s">
        <v>66</v>
      </c>
      <c r="F11" s="6" t="s">
        <v>64</v>
      </c>
      <c r="G11" s="11">
        <v>43556</v>
      </c>
      <c r="H11" s="6">
        <v>81.25</v>
      </c>
      <c r="I11" s="16"/>
      <c r="J11" s="6" t="s">
        <v>81</v>
      </c>
      <c r="K11" s="6" t="s">
        <v>68</v>
      </c>
      <c r="L11" s="6" t="s">
        <v>69</v>
      </c>
      <c r="M11" s="6">
        <v>86.5</v>
      </c>
    </row>
    <row r="12" spans="1:13" ht="16.5">
      <c r="A12" s="6">
        <v>201112</v>
      </c>
      <c r="B12" s="6" t="s">
        <v>5</v>
      </c>
      <c r="C12" s="11">
        <v>33608</v>
      </c>
      <c r="D12" s="6" t="s">
        <v>67</v>
      </c>
      <c r="E12" s="6" t="s">
        <v>68</v>
      </c>
      <c r="F12" s="6" t="s">
        <v>69</v>
      </c>
      <c r="G12" s="11">
        <v>42402</v>
      </c>
      <c r="H12" s="6">
        <v>81</v>
      </c>
      <c r="I12" s="16"/>
      <c r="J12" s="19" t="s">
        <v>87</v>
      </c>
      <c r="K12" s="6" t="s">
        <v>68</v>
      </c>
      <c r="L12" s="6" t="s">
        <v>69</v>
      </c>
      <c r="M12" s="6">
        <v>88</v>
      </c>
    </row>
    <row r="13" spans="1:13" ht="16.5">
      <c r="A13" s="6">
        <v>201117</v>
      </c>
      <c r="B13" s="19" t="s">
        <v>80</v>
      </c>
      <c r="C13" s="11">
        <v>32662</v>
      </c>
      <c r="D13" s="6" t="s">
        <v>67</v>
      </c>
      <c r="E13" s="6" t="s">
        <v>68</v>
      </c>
      <c r="F13" s="6" t="s">
        <v>69</v>
      </c>
      <c r="G13" s="11">
        <v>41457</v>
      </c>
      <c r="H13" s="6">
        <v>90.5</v>
      </c>
      <c r="I13" s="16"/>
      <c r="J13" s="6" t="s">
        <v>89</v>
      </c>
      <c r="K13" s="6" t="s">
        <v>68</v>
      </c>
      <c r="L13" s="6" t="s">
        <v>69</v>
      </c>
      <c r="M13" s="6">
        <v>88.25</v>
      </c>
    </row>
    <row r="14" spans="1:13" ht="16.5">
      <c r="A14" s="6">
        <v>201103</v>
      </c>
      <c r="B14" s="6" t="s">
        <v>81</v>
      </c>
      <c r="C14" s="11">
        <v>29336</v>
      </c>
      <c r="D14" s="6" t="s">
        <v>67</v>
      </c>
      <c r="E14" s="6" t="s">
        <v>68</v>
      </c>
      <c r="F14" s="6" t="s">
        <v>69</v>
      </c>
      <c r="G14" s="11">
        <v>41519</v>
      </c>
      <c r="H14" s="6">
        <v>86.5</v>
      </c>
      <c r="I14" s="16"/>
      <c r="J14" s="6" t="s">
        <v>93</v>
      </c>
      <c r="K14" s="6" t="s">
        <v>78</v>
      </c>
      <c r="L14" s="6" t="s">
        <v>69</v>
      </c>
      <c r="M14" s="6">
        <v>90.5</v>
      </c>
    </row>
    <row r="15" spans="1:13" ht="16.5">
      <c r="A15" s="6">
        <v>202205</v>
      </c>
      <c r="B15" s="6" t="s">
        <v>11</v>
      </c>
      <c r="C15" s="11">
        <v>28561</v>
      </c>
      <c r="D15" s="6" t="s">
        <v>65</v>
      </c>
      <c r="E15" s="6" t="s">
        <v>66</v>
      </c>
      <c r="F15" s="6" t="s">
        <v>64</v>
      </c>
      <c r="G15" s="11">
        <v>43235</v>
      </c>
      <c r="H15" s="6">
        <v>81.25</v>
      </c>
      <c r="I15" s="16"/>
      <c r="J15" s="6" t="s">
        <v>97</v>
      </c>
      <c r="K15" s="6" t="s">
        <v>68</v>
      </c>
      <c r="L15" s="6" t="s">
        <v>69</v>
      </c>
      <c r="M15" s="6">
        <v>86</v>
      </c>
    </row>
    <row r="16" spans="1:13" ht="16.5">
      <c r="A16" s="6">
        <v>201109</v>
      </c>
      <c r="B16" s="6" t="s">
        <v>6</v>
      </c>
      <c r="C16" s="11">
        <v>29953</v>
      </c>
      <c r="D16" s="6" t="s">
        <v>67</v>
      </c>
      <c r="E16" s="6" t="s">
        <v>68</v>
      </c>
      <c r="F16" s="6" t="s">
        <v>64</v>
      </c>
      <c r="G16" s="11">
        <v>43345</v>
      </c>
      <c r="H16" s="6">
        <v>77</v>
      </c>
      <c r="I16" s="16"/>
      <c r="J16" s="6" t="s">
        <v>9</v>
      </c>
      <c r="K16" s="6" t="s">
        <v>68</v>
      </c>
      <c r="L16" s="6" t="s">
        <v>64</v>
      </c>
      <c r="M16" s="6">
        <v>86</v>
      </c>
    </row>
    <row r="17" spans="1:13" ht="16.5">
      <c r="A17" s="6">
        <v>201211</v>
      </c>
      <c r="B17" s="19" t="s">
        <v>82</v>
      </c>
      <c r="C17" s="11">
        <v>31718</v>
      </c>
      <c r="D17" s="6" t="s">
        <v>77</v>
      </c>
      <c r="E17" s="6" t="s">
        <v>78</v>
      </c>
      <c r="F17" s="6" t="s">
        <v>69</v>
      </c>
      <c r="G17" s="11">
        <v>41519</v>
      </c>
      <c r="H17" s="6">
        <v>78.5</v>
      </c>
      <c r="I17" s="16"/>
      <c r="J17" s="19" t="s">
        <v>107</v>
      </c>
      <c r="K17" s="6" t="s">
        <v>71</v>
      </c>
      <c r="L17" s="6" t="s">
        <v>64</v>
      </c>
      <c r="M17" s="6">
        <v>86</v>
      </c>
    </row>
    <row r="18" spans="1:13" ht="16.5">
      <c r="A18" s="6">
        <v>201135</v>
      </c>
      <c r="B18" s="19" t="s">
        <v>83</v>
      </c>
      <c r="C18" s="11">
        <v>31015</v>
      </c>
      <c r="D18" s="6" t="s">
        <v>67</v>
      </c>
      <c r="E18" s="6" t="s">
        <v>68</v>
      </c>
      <c r="F18" s="6" t="s">
        <v>69</v>
      </c>
      <c r="G18" s="11">
        <v>42553</v>
      </c>
      <c r="H18" s="6">
        <v>69.5</v>
      </c>
      <c r="I18" s="16"/>
      <c r="J18" s="19" t="s">
        <v>108</v>
      </c>
      <c r="K18" s="6" t="s">
        <v>68</v>
      </c>
      <c r="L18" s="6" t="s">
        <v>64</v>
      </c>
      <c r="M18" s="6">
        <v>85.5</v>
      </c>
    </row>
    <row r="19" spans="1:13" ht="16.5">
      <c r="A19" s="6">
        <v>201119</v>
      </c>
      <c r="B19" s="19" t="s">
        <v>84</v>
      </c>
      <c r="C19" s="11">
        <v>33180</v>
      </c>
      <c r="D19" s="6" t="s">
        <v>67</v>
      </c>
      <c r="E19" s="6" t="s">
        <v>68</v>
      </c>
      <c r="F19" s="6" t="s">
        <v>69</v>
      </c>
      <c r="G19" s="11">
        <v>41866</v>
      </c>
      <c r="H19" s="6">
        <v>79.75</v>
      </c>
      <c r="I19" s="16"/>
      <c r="J19" s="16"/>
      <c r="K19" s="16"/>
      <c r="L19" s="16"/>
      <c r="M19" s="16"/>
    </row>
    <row r="20" spans="1:13" ht="16.5">
      <c r="A20" s="6">
        <v>201105</v>
      </c>
      <c r="B20" s="6" t="s">
        <v>2</v>
      </c>
      <c r="C20" s="11">
        <v>30529</v>
      </c>
      <c r="D20" s="6" t="s">
        <v>67</v>
      </c>
      <c r="E20" s="6" t="s">
        <v>68</v>
      </c>
      <c r="F20" s="6" t="s">
        <v>69</v>
      </c>
      <c r="G20" s="11">
        <v>41884</v>
      </c>
      <c r="H20" s="6">
        <v>84</v>
      </c>
      <c r="I20" s="16"/>
      <c r="J20" s="16"/>
      <c r="K20" s="16"/>
      <c r="L20" s="16"/>
      <c r="M20" s="16"/>
    </row>
    <row r="21" spans="1:13" ht="16.5">
      <c r="A21" s="6">
        <v>201121</v>
      </c>
      <c r="B21" s="19" t="s">
        <v>85</v>
      </c>
      <c r="C21" s="11">
        <v>33675</v>
      </c>
      <c r="D21" s="6" t="s">
        <v>67</v>
      </c>
      <c r="E21" s="6" t="s">
        <v>68</v>
      </c>
      <c r="F21" s="6" t="s">
        <v>64</v>
      </c>
      <c r="G21" s="11">
        <v>43556</v>
      </c>
      <c r="H21" s="6">
        <v>77.25</v>
      </c>
      <c r="I21" s="16"/>
      <c r="J21" s="16"/>
      <c r="K21" s="16"/>
      <c r="L21" s="16"/>
      <c r="M21" s="16"/>
    </row>
    <row r="22" spans="1:13" ht="16.5">
      <c r="A22" s="6">
        <v>202103</v>
      </c>
      <c r="B22" s="6" t="s">
        <v>86</v>
      </c>
      <c r="C22" s="11">
        <v>32389</v>
      </c>
      <c r="D22" s="6" t="s">
        <v>70</v>
      </c>
      <c r="E22" s="6" t="s">
        <v>71</v>
      </c>
      <c r="F22" s="6" t="s">
        <v>64</v>
      </c>
      <c r="G22" s="11">
        <v>42505</v>
      </c>
      <c r="H22" s="6">
        <v>66.5</v>
      </c>
      <c r="I22" s="16"/>
      <c r="J22" s="16"/>
      <c r="K22" s="16"/>
      <c r="L22" s="16"/>
      <c r="M22" s="16"/>
    </row>
    <row r="23" spans="1:13" ht="16.5">
      <c r="A23" s="6">
        <v>201125</v>
      </c>
      <c r="B23" s="19" t="s">
        <v>87</v>
      </c>
      <c r="C23" s="11">
        <v>31260</v>
      </c>
      <c r="D23" s="6" t="s">
        <v>67</v>
      </c>
      <c r="E23" s="6" t="s">
        <v>68</v>
      </c>
      <c r="F23" s="6" t="s">
        <v>69</v>
      </c>
      <c r="G23" s="11">
        <v>41673</v>
      </c>
      <c r="H23" s="6">
        <v>88</v>
      </c>
      <c r="I23" s="16"/>
      <c r="J23" s="16"/>
      <c r="K23" s="16"/>
      <c r="L23" s="16"/>
      <c r="M23" s="16"/>
    </row>
    <row r="24" spans="1:13" ht="16.5">
      <c r="A24" s="6">
        <v>201311</v>
      </c>
      <c r="B24" s="19" t="s">
        <v>88</v>
      </c>
      <c r="C24" s="11">
        <v>32401</v>
      </c>
      <c r="D24" s="6" t="s">
        <v>73</v>
      </c>
      <c r="E24" s="6" t="s">
        <v>74</v>
      </c>
      <c r="F24" s="6" t="s">
        <v>64</v>
      </c>
      <c r="G24" s="11">
        <v>43388</v>
      </c>
      <c r="H24" s="6">
        <v>91.75</v>
      </c>
      <c r="I24" s="16"/>
      <c r="J24" s="16"/>
      <c r="K24" s="16"/>
      <c r="L24" s="16"/>
      <c r="M24" s="16"/>
    </row>
    <row r="25" spans="1:13" ht="16.5">
      <c r="A25" s="6">
        <v>201108</v>
      </c>
      <c r="B25" s="6" t="s">
        <v>89</v>
      </c>
      <c r="C25" s="11">
        <v>31260</v>
      </c>
      <c r="D25" s="6" t="s">
        <v>67</v>
      </c>
      <c r="E25" s="6" t="s">
        <v>68</v>
      </c>
      <c r="F25" s="6" t="s">
        <v>69</v>
      </c>
      <c r="G25" s="11">
        <v>41404</v>
      </c>
      <c r="H25" s="6">
        <v>88.25</v>
      </c>
      <c r="I25" s="16"/>
      <c r="J25" s="16"/>
      <c r="K25" s="16"/>
      <c r="L25" s="16"/>
      <c r="M25" s="16"/>
    </row>
    <row r="26" spans="1:13" ht="16.5">
      <c r="A26" s="6">
        <v>202315</v>
      </c>
      <c r="B26" s="19" t="s">
        <v>90</v>
      </c>
      <c r="C26" s="11">
        <v>30683</v>
      </c>
      <c r="D26" s="6" t="s">
        <v>63</v>
      </c>
      <c r="E26" s="6" t="s">
        <v>55</v>
      </c>
      <c r="F26" s="6" t="s">
        <v>64</v>
      </c>
      <c r="G26" s="11">
        <v>43023</v>
      </c>
      <c r="H26" s="6">
        <v>82.5</v>
      </c>
      <c r="I26" s="16"/>
      <c r="J26" s="16"/>
      <c r="K26" s="16"/>
      <c r="L26" s="16"/>
      <c r="M26" s="16"/>
    </row>
    <row r="27" spans="1:13" ht="16.5">
      <c r="A27" s="6">
        <v>201116</v>
      </c>
      <c r="B27" s="6" t="s">
        <v>91</v>
      </c>
      <c r="C27" s="11">
        <v>29029</v>
      </c>
      <c r="D27" s="6" t="s">
        <v>67</v>
      </c>
      <c r="E27" s="6" t="s">
        <v>68</v>
      </c>
      <c r="F27" s="6" t="s">
        <v>69</v>
      </c>
      <c r="G27" s="11">
        <v>41884</v>
      </c>
      <c r="H27" s="6">
        <v>68</v>
      </c>
      <c r="I27" s="16"/>
      <c r="J27" s="16"/>
      <c r="K27" s="16"/>
      <c r="L27" s="16"/>
      <c r="M27" s="16"/>
    </row>
    <row r="28" spans="1:13" ht="16.5">
      <c r="A28" s="6">
        <v>202210</v>
      </c>
      <c r="B28" s="19" t="s">
        <v>92</v>
      </c>
      <c r="C28" s="11">
        <v>31802</v>
      </c>
      <c r="D28" s="6" t="s">
        <v>65</v>
      </c>
      <c r="E28" s="6" t="s">
        <v>66</v>
      </c>
      <c r="F28" s="6" t="s">
        <v>69</v>
      </c>
      <c r="G28" s="11">
        <v>41519</v>
      </c>
      <c r="H28" s="6">
        <v>93.5</v>
      </c>
      <c r="I28" s="16"/>
      <c r="J28" s="16"/>
      <c r="K28" s="16"/>
      <c r="L28" s="16"/>
      <c r="M28" s="16"/>
    </row>
    <row r="29" spans="1:13" ht="16.5">
      <c r="A29" s="6">
        <v>201202</v>
      </c>
      <c r="B29" s="6" t="s">
        <v>93</v>
      </c>
      <c r="C29" s="11">
        <v>29407</v>
      </c>
      <c r="D29" s="6" t="s">
        <v>77</v>
      </c>
      <c r="E29" s="6" t="s">
        <v>78</v>
      </c>
      <c r="F29" s="6" t="s">
        <v>69</v>
      </c>
      <c r="G29" s="11">
        <v>41519</v>
      </c>
      <c r="H29" s="6">
        <v>90.5</v>
      </c>
      <c r="I29" s="16"/>
      <c r="J29" s="16"/>
      <c r="K29" s="16"/>
      <c r="L29" s="16"/>
      <c r="M29" s="16"/>
    </row>
    <row r="30" spans="1:13" ht="16.5">
      <c r="A30" s="6">
        <v>202301</v>
      </c>
      <c r="B30" s="6" t="s">
        <v>4</v>
      </c>
      <c r="C30" s="11">
        <v>32401</v>
      </c>
      <c r="D30" s="6" t="s">
        <v>63</v>
      </c>
      <c r="E30" s="6" t="s">
        <v>55</v>
      </c>
      <c r="F30" s="6" t="s">
        <v>69</v>
      </c>
      <c r="G30" s="11">
        <v>41519</v>
      </c>
      <c r="H30" s="6">
        <v>76</v>
      </c>
      <c r="I30" s="16"/>
      <c r="J30" s="16"/>
      <c r="K30" s="16"/>
      <c r="L30" s="16"/>
      <c r="M30" s="16"/>
    </row>
    <row r="31" spans="1:13" ht="16.5">
      <c r="A31" s="6">
        <v>202207</v>
      </c>
      <c r="B31" s="6" t="s">
        <v>94</v>
      </c>
      <c r="C31" s="11">
        <v>31718</v>
      </c>
      <c r="D31" s="6" t="s">
        <v>65</v>
      </c>
      <c r="E31" s="6" t="s">
        <v>66</v>
      </c>
      <c r="F31" s="6" t="s">
        <v>64</v>
      </c>
      <c r="G31" s="11">
        <v>43526</v>
      </c>
      <c r="H31" s="6">
        <v>93.25</v>
      </c>
      <c r="I31" s="16"/>
      <c r="J31" s="16"/>
      <c r="K31" s="16"/>
      <c r="L31" s="16"/>
      <c r="M31" s="16"/>
    </row>
    <row r="32" spans="1:13" ht="16.5">
      <c r="A32" s="6">
        <v>201204</v>
      </c>
      <c r="B32" s="6" t="s">
        <v>95</v>
      </c>
      <c r="C32" s="11">
        <v>30506</v>
      </c>
      <c r="D32" s="6" t="s">
        <v>77</v>
      </c>
      <c r="E32" s="6" t="s">
        <v>78</v>
      </c>
      <c r="F32" s="6" t="s">
        <v>64</v>
      </c>
      <c r="G32" s="11">
        <v>42431</v>
      </c>
      <c r="H32" s="6">
        <v>76.75</v>
      </c>
      <c r="I32" s="16"/>
      <c r="J32" s="16"/>
      <c r="K32" s="16"/>
      <c r="L32" s="16"/>
      <c r="M32" s="16"/>
    </row>
    <row r="33" spans="1:13" ht="16.5">
      <c r="A33" s="6">
        <v>201304</v>
      </c>
      <c r="B33" s="6" t="s">
        <v>96</v>
      </c>
      <c r="C33" s="11">
        <v>28649</v>
      </c>
      <c r="D33" s="6" t="s">
        <v>73</v>
      </c>
      <c r="E33" s="6" t="s">
        <v>74</v>
      </c>
      <c r="F33" s="6" t="s">
        <v>69</v>
      </c>
      <c r="G33" s="11">
        <v>42037</v>
      </c>
      <c r="H33" s="6">
        <v>82.5</v>
      </c>
      <c r="I33" s="16"/>
      <c r="J33" s="16"/>
      <c r="K33" s="16"/>
      <c r="L33" s="16"/>
      <c r="M33" s="16"/>
    </row>
    <row r="34" spans="1:13" ht="16.5">
      <c r="A34" s="6">
        <v>201115</v>
      </c>
      <c r="B34" s="6" t="s">
        <v>97</v>
      </c>
      <c r="C34" s="11">
        <v>31718</v>
      </c>
      <c r="D34" s="6" t="s">
        <v>67</v>
      </c>
      <c r="E34" s="6" t="s">
        <v>68</v>
      </c>
      <c r="F34" s="6" t="s">
        <v>69</v>
      </c>
      <c r="G34" s="11">
        <v>41519</v>
      </c>
      <c r="H34" s="6">
        <v>86</v>
      </c>
      <c r="I34" s="16"/>
      <c r="J34" s="16"/>
      <c r="K34" s="16"/>
      <c r="L34" s="16"/>
      <c r="M34" s="16"/>
    </row>
    <row r="35" spans="1:13" ht="16.5">
      <c r="A35" s="6">
        <v>201113</v>
      </c>
      <c r="B35" s="6" t="s">
        <v>98</v>
      </c>
      <c r="C35" s="11">
        <v>30727</v>
      </c>
      <c r="D35" s="6" t="s">
        <v>67</v>
      </c>
      <c r="E35" s="6" t="s">
        <v>68</v>
      </c>
      <c r="F35" s="6" t="s">
        <v>69</v>
      </c>
      <c r="G35" s="11">
        <v>42918</v>
      </c>
      <c r="H35" s="6">
        <v>75.25</v>
      </c>
      <c r="I35" s="16"/>
      <c r="J35" s="16"/>
      <c r="K35" s="16"/>
      <c r="L35" s="16"/>
      <c r="M35" s="16"/>
    </row>
    <row r="36" spans="1:13" ht="16.5">
      <c r="A36" s="6">
        <v>201303</v>
      </c>
      <c r="B36" s="6" t="s">
        <v>3</v>
      </c>
      <c r="C36" s="11">
        <v>29527</v>
      </c>
      <c r="D36" s="6" t="s">
        <v>73</v>
      </c>
      <c r="E36" s="6" t="s">
        <v>74</v>
      </c>
      <c r="F36" s="6" t="s">
        <v>69</v>
      </c>
      <c r="G36" s="11">
        <v>41549</v>
      </c>
      <c r="H36" s="6">
        <v>81.5</v>
      </c>
      <c r="I36" s="16"/>
      <c r="J36" s="16"/>
      <c r="K36" s="16"/>
      <c r="L36" s="16"/>
      <c r="M36" s="16"/>
    </row>
    <row r="37" spans="1:13" ht="16.5">
      <c r="A37" s="6">
        <v>202109</v>
      </c>
      <c r="B37" s="6" t="s">
        <v>99</v>
      </c>
      <c r="C37" s="11">
        <v>31015</v>
      </c>
      <c r="D37" s="6" t="s">
        <v>70</v>
      </c>
      <c r="E37" s="6" t="s">
        <v>71</v>
      </c>
      <c r="F37" s="6" t="s">
        <v>64</v>
      </c>
      <c r="G37" s="11">
        <v>42431</v>
      </c>
      <c r="H37" s="6">
        <v>73.75</v>
      </c>
      <c r="I37" s="16"/>
      <c r="J37" s="16"/>
      <c r="K37" s="16"/>
      <c r="L37" s="16"/>
      <c r="M37" s="16"/>
    </row>
    <row r="38" spans="1:13" ht="16.5">
      <c r="A38" s="6">
        <v>201106</v>
      </c>
      <c r="B38" s="6" t="s">
        <v>100</v>
      </c>
      <c r="C38" s="11">
        <v>31031</v>
      </c>
      <c r="D38" s="6" t="s">
        <v>67</v>
      </c>
      <c r="E38" s="6" t="s">
        <v>68</v>
      </c>
      <c r="F38" s="6" t="s">
        <v>69</v>
      </c>
      <c r="G38" s="11">
        <v>40941</v>
      </c>
      <c r="H38" s="6">
        <v>92.25</v>
      </c>
      <c r="I38" s="16"/>
      <c r="J38" s="16"/>
      <c r="K38" s="16"/>
      <c r="L38" s="16"/>
      <c r="M38" s="16"/>
    </row>
    <row r="39" spans="1:13" ht="16.5">
      <c r="A39" s="6">
        <v>202303</v>
      </c>
      <c r="B39" s="6" t="s">
        <v>101</v>
      </c>
      <c r="C39" s="11">
        <v>30683</v>
      </c>
      <c r="D39" s="6" t="s">
        <v>63</v>
      </c>
      <c r="E39" s="6" t="s">
        <v>55</v>
      </c>
      <c r="F39" s="6" t="s">
        <v>69</v>
      </c>
      <c r="G39" s="11">
        <v>42065</v>
      </c>
      <c r="H39" s="6">
        <v>76.5</v>
      </c>
      <c r="I39" s="16"/>
      <c r="J39" s="16"/>
      <c r="K39" s="16"/>
      <c r="L39" s="16"/>
      <c r="M39" s="16"/>
    </row>
    <row r="40" spans="1:13" ht="16.5">
      <c r="A40" s="6">
        <v>201209</v>
      </c>
      <c r="B40" s="19" t="s">
        <v>102</v>
      </c>
      <c r="C40" s="11">
        <v>30703</v>
      </c>
      <c r="D40" s="6" t="s">
        <v>77</v>
      </c>
      <c r="E40" s="6" t="s">
        <v>78</v>
      </c>
      <c r="F40" s="6" t="s">
        <v>69</v>
      </c>
      <c r="G40" s="11">
        <v>42402</v>
      </c>
      <c r="H40" s="6">
        <v>81.5</v>
      </c>
      <c r="I40" s="16"/>
      <c r="J40" s="16"/>
      <c r="K40" s="16"/>
      <c r="L40" s="16"/>
      <c r="M40" s="16"/>
    </row>
    <row r="41" spans="1:13" ht="16.5">
      <c r="A41" s="6">
        <v>202309</v>
      </c>
      <c r="B41" s="19" t="s">
        <v>103</v>
      </c>
      <c r="C41" s="11">
        <v>31675</v>
      </c>
      <c r="D41" s="6" t="s">
        <v>63</v>
      </c>
      <c r="E41" s="6" t="s">
        <v>55</v>
      </c>
      <c r="F41" s="6" t="s">
        <v>64</v>
      </c>
      <c r="G41" s="11">
        <v>42796</v>
      </c>
      <c r="H41" s="6">
        <v>76.75</v>
      </c>
      <c r="I41" s="16"/>
      <c r="J41" s="16"/>
      <c r="K41" s="16"/>
      <c r="L41" s="16"/>
      <c r="M41" s="16"/>
    </row>
    <row r="42" spans="1:13" ht="16.5">
      <c r="A42" s="6">
        <v>201101</v>
      </c>
      <c r="B42" s="6" t="s">
        <v>9</v>
      </c>
      <c r="C42" s="11">
        <v>29009</v>
      </c>
      <c r="D42" s="6" t="s">
        <v>67</v>
      </c>
      <c r="E42" s="6" t="s">
        <v>68</v>
      </c>
      <c r="F42" s="6" t="s">
        <v>64</v>
      </c>
      <c r="G42" s="11">
        <v>42431</v>
      </c>
      <c r="H42" s="6">
        <v>86</v>
      </c>
      <c r="I42" s="16"/>
      <c r="J42" s="16"/>
      <c r="K42" s="16"/>
      <c r="L42" s="16"/>
      <c r="M42" s="16"/>
    </row>
    <row r="43" spans="1:13" ht="16.5">
      <c r="A43" s="6">
        <v>201123</v>
      </c>
      <c r="B43" s="19" t="s">
        <v>104</v>
      </c>
      <c r="C43" s="11">
        <v>29133</v>
      </c>
      <c r="D43" s="6" t="s">
        <v>67</v>
      </c>
      <c r="E43" s="6" t="s">
        <v>68</v>
      </c>
      <c r="F43" s="6" t="s">
        <v>69</v>
      </c>
      <c r="G43" s="11">
        <v>41774</v>
      </c>
      <c r="H43" s="6">
        <v>65.25</v>
      </c>
      <c r="I43" s="16"/>
      <c r="J43" s="16"/>
      <c r="K43" s="16"/>
      <c r="L43" s="16"/>
      <c r="M43" s="16"/>
    </row>
    <row r="44" spans="1:13" ht="16.5">
      <c r="A44" s="6">
        <v>201132</v>
      </c>
      <c r="B44" s="19" t="s">
        <v>105</v>
      </c>
      <c r="C44" s="11">
        <v>32297</v>
      </c>
      <c r="D44" s="6" t="s">
        <v>67</v>
      </c>
      <c r="E44" s="6" t="s">
        <v>68</v>
      </c>
      <c r="F44" s="6" t="s">
        <v>69</v>
      </c>
      <c r="G44" s="11">
        <v>41519</v>
      </c>
      <c r="H44" s="6">
        <v>75</v>
      </c>
      <c r="I44" s="16"/>
      <c r="J44" s="16"/>
      <c r="K44" s="16"/>
      <c r="L44" s="16"/>
      <c r="M44" s="16"/>
    </row>
    <row r="45" spans="1:13" ht="16.5">
      <c r="A45" s="6">
        <v>201122</v>
      </c>
      <c r="B45" s="19" t="s">
        <v>106</v>
      </c>
      <c r="C45" s="11">
        <v>31977</v>
      </c>
      <c r="D45" s="6" t="s">
        <v>67</v>
      </c>
      <c r="E45" s="6" t="s">
        <v>68</v>
      </c>
      <c r="F45" s="6" t="s">
        <v>64</v>
      </c>
      <c r="G45" s="11">
        <v>43283</v>
      </c>
      <c r="H45" s="6">
        <v>83</v>
      </c>
      <c r="I45" s="16"/>
      <c r="J45" s="16"/>
      <c r="K45" s="16"/>
      <c r="L45" s="16"/>
      <c r="M45" s="16"/>
    </row>
    <row r="46" spans="1:13" ht="16.5">
      <c r="A46" s="6">
        <v>202112</v>
      </c>
      <c r="B46" s="19" t="s">
        <v>107</v>
      </c>
      <c r="C46" s="11">
        <v>29953</v>
      </c>
      <c r="D46" s="6" t="s">
        <v>70</v>
      </c>
      <c r="E46" s="6" t="s">
        <v>71</v>
      </c>
      <c r="F46" s="6" t="s">
        <v>64</v>
      </c>
      <c r="G46" s="11">
        <v>43283</v>
      </c>
      <c r="H46" s="6">
        <v>86</v>
      </c>
      <c r="I46" s="16"/>
      <c r="J46" s="16"/>
      <c r="K46" s="16"/>
      <c r="L46" s="16"/>
      <c r="M46" s="16"/>
    </row>
    <row r="47" spans="1:13" ht="16.5">
      <c r="A47" s="6">
        <v>201130</v>
      </c>
      <c r="B47" s="19" t="s">
        <v>108</v>
      </c>
      <c r="C47" s="11">
        <v>31718</v>
      </c>
      <c r="D47" s="6" t="s">
        <v>67</v>
      </c>
      <c r="E47" s="6" t="s">
        <v>68</v>
      </c>
      <c r="F47" s="6" t="s">
        <v>64</v>
      </c>
      <c r="G47" s="11">
        <v>42402</v>
      </c>
      <c r="H47" s="6">
        <v>85.5</v>
      </c>
      <c r="I47" s="16"/>
      <c r="J47" s="16"/>
      <c r="K47" s="16"/>
      <c r="L47" s="16"/>
      <c r="M47" s="16"/>
    </row>
    <row r="48" spans="1:13" ht="16.5">
      <c r="A48" s="6">
        <v>202304</v>
      </c>
      <c r="B48" s="19" t="s">
        <v>109</v>
      </c>
      <c r="C48" s="11">
        <v>33079</v>
      </c>
      <c r="D48" s="6" t="s">
        <v>63</v>
      </c>
      <c r="E48" s="6" t="s">
        <v>55</v>
      </c>
      <c r="F48" s="6" t="s">
        <v>64</v>
      </c>
      <c r="G48" s="11">
        <v>42796</v>
      </c>
      <c r="H48" s="6">
        <v>80.5</v>
      </c>
      <c r="I48" s="16"/>
      <c r="J48" s="16"/>
      <c r="K48" s="16"/>
      <c r="L48" s="16"/>
      <c r="M48" s="16"/>
    </row>
    <row r="49" spans="1:13" ht="16.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</row>
    <row r="50" spans="1:13" ht="16.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</row>
  </sheetData>
  <phoneticPr fontId="2" type="noConversion"/>
  <conditionalFormatting sqref="A3:H48">
    <cfRule type="expression" dxfId="2" priority="1">
      <formula>AND(RIGHT($A3,1)="1",LEN($E3)=3)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2:H48"/>
  <sheetViews>
    <sheetView workbookViewId="0">
      <selection activeCell="C11" sqref="C11"/>
    </sheetView>
  </sheetViews>
  <sheetFormatPr defaultColWidth="8.77734375" defaultRowHeight="16.5"/>
  <cols>
    <col min="1" max="1" width="8.88671875" style="16" bestFit="1" customWidth="1"/>
    <col min="2" max="2" width="8.77734375" style="16"/>
    <col min="3" max="3" width="10.88671875" style="16" bestFit="1" customWidth="1"/>
    <col min="4" max="4" width="8.77734375" style="16"/>
    <col min="5" max="5" width="10.44140625" style="16" bestFit="1" customWidth="1"/>
    <col min="6" max="6" width="8.77734375" style="16"/>
    <col min="7" max="7" width="10.88671875" style="16" bestFit="1" customWidth="1"/>
    <col min="8" max="8" width="8.88671875" style="16" bestFit="1" customWidth="1"/>
    <col min="9" max="16384" width="8.77734375" style="16"/>
  </cols>
  <sheetData>
    <row r="2" spans="1:8">
      <c r="A2" s="24" t="s">
        <v>56</v>
      </c>
      <c r="B2" s="24" t="s">
        <v>0</v>
      </c>
      <c r="C2" s="24" t="s">
        <v>57</v>
      </c>
      <c r="D2" s="24" t="s">
        <v>58</v>
      </c>
      <c r="E2" s="24" t="s">
        <v>59</v>
      </c>
      <c r="F2" s="24" t="s">
        <v>60</v>
      </c>
      <c r="G2" s="24" t="s">
        <v>61</v>
      </c>
      <c r="H2" s="24" t="s">
        <v>110</v>
      </c>
    </row>
    <row r="3" spans="1:8">
      <c r="A3" s="6">
        <v>201101</v>
      </c>
      <c r="B3" s="6" t="s">
        <v>9</v>
      </c>
      <c r="C3" s="11">
        <v>29009</v>
      </c>
      <c r="D3" s="6" t="s">
        <v>67</v>
      </c>
      <c r="E3" s="6" t="s">
        <v>68</v>
      </c>
      <c r="F3" s="6" t="s">
        <v>64</v>
      </c>
      <c r="G3" s="11">
        <v>42431</v>
      </c>
      <c r="H3" s="6">
        <v>86</v>
      </c>
    </row>
    <row r="4" spans="1:8">
      <c r="A4" s="6">
        <v>201103</v>
      </c>
      <c r="B4" s="6" t="s">
        <v>81</v>
      </c>
      <c r="C4" s="11">
        <v>29336</v>
      </c>
      <c r="D4" s="6" t="s">
        <v>67</v>
      </c>
      <c r="E4" s="6" t="s">
        <v>68</v>
      </c>
      <c r="F4" s="6" t="s">
        <v>69</v>
      </c>
      <c r="G4" s="11">
        <v>41519</v>
      </c>
      <c r="H4" s="6">
        <v>86.5</v>
      </c>
    </row>
    <row r="5" spans="1:8">
      <c r="A5" s="6">
        <v>201105</v>
      </c>
      <c r="B5" s="6" t="s">
        <v>2</v>
      </c>
      <c r="C5" s="11">
        <v>30529</v>
      </c>
      <c r="D5" s="6" t="s">
        <v>67</v>
      </c>
      <c r="E5" s="6" t="s">
        <v>68</v>
      </c>
      <c r="F5" s="6" t="s">
        <v>69</v>
      </c>
      <c r="G5" s="11">
        <v>41884</v>
      </c>
      <c r="H5" s="6">
        <v>84</v>
      </c>
    </row>
    <row r="6" spans="1:8">
      <c r="A6" s="6">
        <v>201106</v>
      </c>
      <c r="B6" s="6" t="s">
        <v>100</v>
      </c>
      <c r="C6" s="11">
        <v>31031</v>
      </c>
      <c r="D6" s="6" t="s">
        <v>67</v>
      </c>
      <c r="E6" s="6" t="s">
        <v>68</v>
      </c>
      <c r="F6" s="6" t="s">
        <v>69</v>
      </c>
      <c r="G6" s="11">
        <v>40941</v>
      </c>
      <c r="H6" s="6">
        <v>92.25</v>
      </c>
    </row>
    <row r="7" spans="1:8">
      <c r="A7" s="6">
        <v>201108</v>
      </c>
      <c r="B7" s="6" t="s">
        <v>89</v>
      </c>
      <c r="C7" s="11">
        <v>31260</v>
      </c>
      <c r="D7" s="6" t="s">
        <v>67</v>
      </c>
      <c r="E7" s="6" t="s">
        <v>68</v>
      </c>
      <c r="F7" s="6" t="s">
        <v>69</v>
      </c>
      <c r="G7" s="11">
        <v>41404</v>
      </c>
      <c r="H7" s="6">
        <v>88.25</v>
      </c>
    </row>
    <row r="8" spans="1:8">
      <c r="A8" s="6">
        <v>201109</v>
      </c>
      <c r="B8" s="6" t="s">
        <v>6</v>
      </c>
      <c r="C8" s="11">
        <v>29953</v>
      </c>
      <c r="D8" s="6" t="s">
        <v>67</v>
      </c>
      <c r="E8" s="6" t="s">
        <v>68</v>
      </c>
      <c r="F8" s="6" t="s">
        <v>64</v>
      </c>
      <c r="G8" s="11">
        <v>43345</v>
      </c>
      <c r="H8" s="6">
        <v>77</v>
      </c>
    </row>
    <row r="9" spans="1:8">
      <c r="A9" s="6">
        <v>201110</v>
      </c>
      <c r="B9" s="6" t="s">
        <v>10</v>
      </c>
      <c r="C9" s="11">
        <v>32297</v>
      </c>
      <c r="D9" s="6" t="s">
        <v>67</v>
      </c>
      <c r="E9" s="6" t="s">
        <v>68</v>
      </c>
      <c r="F9" s="6" t="s">
        <v>69</v>
      </c>
      <c r="G9" s="11">
        <v>41549</v>
      </c>
      <c r="H9" s="6">
        <v>82.5</v>
      </c>
    </row>
    <row r="10" spans="1:8">
      <c r="A10" s="6">
        <v>201111</v>
      </c>
      <c r="B10" s="6" t="s">
        <v>76</v>
      </c>
      <c r="C10" s="11">
        <v>33649</v>
      </c>
      <c r="D10" s="6" t="s">
        <v>67</v>
      </c>
      <c r="E10" s="6" t="s">
        <v>68</v>
      </c>
      <c r="F10" s="6" t="s">
        <v>69</v>
      </c>
      <c r="G10" s="11">
        <v>41993</v>
      </c>
      <c r="H10" s="6">
        <v>69.5</v>
      </c>
    </row>
    <row r="11" spans="1:8">
      <c r="A11" s="6">
        <v>201112</v>
      </c>
      <c r="B11" s="6" t="s">
        <v>5</v>
      </c>
      <c r="C11" s="11">
        <v>33608</v>
      </c>
      <c r="D11" s="6" t="s">
        <v>67</v>
      </c>
      <c r="E11" s="6" t="s">
        <v>68</v>
      </c>
      <c r="F11" s="6" t="s">
        <v>69</v>
      </c>
      <c r="G11" s="11">
        <v>42402</v>
      </c>
      <c r="H11" s="6">
        <v>81</v>
      </c>
    </row>
    <row r="12" spans="1:8">
      <c r="A12" s="6">
        <v>201113</v>
      </c>
      <c r="B12" s="6" t="s">
        <v>98</v>
      </c>
      <c r="C12" s="11">
        <v>30727</v>
      </c>
      <c r="D12" s="6" t="s">
        <v>67</v>
      </c>
      <c r="E12" s="6" t="s">
        <v>68</v>
      </c>
      <c r="F12" s="6" t="s">
        <v>69</v>
      </c>
      <c r="G12" s="11">
        <v>42918</v>
      </c>
      <c r="H12" s="6">
        <v>75.25</v>
      </c>
    </row>
    <row r="13" spans="1:8">
      <c r="A13" s="6">
        <v>201115</v>
      </c>
      <c r="B13" s="6" t="s">
        <v>97</v>
      </c>
      <c r="C13" s="11">
        <v>31718</v>
      </c>
      <c r="D13" s="6" t="s">
        <v>67</v>
      </c>
      <c r="E13" s="6" t="s">
        <v>68</v>
      </c>
      <c r="F13" s="6" t="s">
        <v>69</v>
      </c>
      <c r="G13" s="11">
        <v>41519</v>
      </c>
      <c r="H13" s="6">
        <v>86</v>
      </c>
    </row>
    <row r="14" spans="1:8">
      <c r="A14" s="6">
        <v>201116</v>
      </c>
      <c r="B14" s="6" t="s">
        <v>91</v>
      </c>
      <c r="C14" s="11">
        <v>29029</v>
      </c>
      <c r="D14" s="6" t="s">
        <v>67</v>
      </c>
      <c r="E14" s="6" t="s">
        <v>68</v>
      </c>
      <c r="F14" s="6" t="s">
        <v>69</v>
      </c>
      <c r="G14" s="11">
        <v>41884</v>
      </c>
      <c r="H14" s="6">
        <v>68</v>
      </c>
    </row>
    <row r="15" spans="1:8">
      <c r="A15" s="6">
        <v>201117</v>
      </c>
      <c r="B15" s="19" t="s">
        <v>80</v>
      </c>
      <c r="C15" s="11">
        <v>32662</v>
      </c>
      <c r="D15" s="6" t="s">
        <v>67</v>
      </c>
      <c r="E15" s="6" t="s">
        <v>68</v>
      </c>
      <c r="F15" s="6" t="s">
        <v>69</v>
      </c>
      <c r="G15" s="11">
        <v>41457</v>
      </c>
      <c r="H15" s="6">
        <v>90.5</v>
      </c>
    </row>
    <row r="16" spans="1:8">
      <c r="A16" s="6">
        <v>201119</v>
      </c>
      <c r="B16" s="19" t="s">
        <v>84</v>
      </c>
      <c r="C16" s="11">
        <v>33180</v>
      </c>
      <c r="D16" s="6" t="s">
        <v>67</v>
      </c>
      <c r="E16" s="6" t="s">
        <v>68</v>
      </c>
      <c r="F16" s="6" t="s">
        <v>69</v>
      </c>
      <c r="G16" s="11">
        <v>41866</v>
      </c>
      <c r="H16" s="6">
        <v>79.75</v>
      </c>
    </row>
    <row r="17" spans="1:8">
      <c r="A17" s="6">
        <v>201121</v>
      </c>
      <c r="B17" s="19" t="s">
        <v>85</v>
      </c>
      <c r="C17" s="11">
        <v>33675</v>
      </c>
      <c r="D17" s="6" t="s">
        <v>67</v>
      </c>
      <c r="E17" s="6" t="s">
        <v>68</v>
      </c>
      <c r="F17" s="6" t="s">
        <v>64</v>
      </c>
      <c r="G17" s="11">
        <v>43556</v>
      </c>
      <c r="H17" s="6">
        <v>77.25</v>
      </c>
    </row>
    <row r="18" spans="1:8">
      <c r="A18" s="6">
        <v>201122</v>
      </c>
      <c r="B18" s="19" t="s">
        <v>106</v>
      </c>
      <c r="C18" s="11">
        <v>31977</v>
      </c>
      <c r="D18" s="6" t="s">
        <v>67</v>
      </c>
      <c r="E18" s="6" t="s">
        <v>68</v>
      </c>
      <c r="F18" s="6" t="s">
        <v>64</v>
      </c>
      <c r="G18" s="11">
        <v>43283</v>
      </c>
      <c r="H18" s="6">
        <v>83</v>
      </c>
    </row>
    <row r="19" spans="1:8">
      <c r="A19" s="6">
        <v>201123</v>
      </c>
      <c r="B19" s="19" t="s">
        <v>104</v>
      </c>
      <c r="C19" s="11">
        <v>29133</v>
      </c>
      <c r="D19" s="6" t="s">
        <v>67</v>
      </c>
      <c r="E19" s="6" t="s">
        <v>68</v>
      </c>
      <c r="F19" s="6" t="s">
        <v>69</v>
      </c>
      <c r="G19" s="11">
        <v>41774</v>
      </c>
      <c r="H19" s="6">
        <v>65.25</v>
      </c>
    </row>
    <row r="20" spans="1:8">
      <c r="A20" s="6">
        <v>201125</v>
      </c>
      <c r="B20" s="19" t="s">
        <v>87</v>
      </c>
      <c r="C20" s="11">
        <v>31260</v>
      </c>
      <c r="D20" s="6" t="s">
        <v>67</v>
      </c>
      <c r="E20" s="6" t="s">
        <v>68</v>
      </c>
      <c r="F20" s="6" t="s">
        <v>69</v>
      </c>
      <c r="G20" s="11">
        <v>41673</v>
      </c>
      <c r="H20" s="6">
        <v>88</v>
      </c>
    </row>
    <row r="21" spans="1:8">
      <c r="A21" s="6">
        <v>201130</v>
      </c>
      <c r="B21" s="19" t="s">
        <v>108</v>
      </c>
      <c r="C21" s="11">
        <v>31718</v>
      </c>
      <c r="D21" s="6" t="s">
        <v>67</v>
      </c>
      <c r="E21" s="6" t="s">
        <v>68</v>
      </c>
      <c r="F21" s="6" t="s">
        <v>64</v>
      </c>
      <c r="G21" s="11">
        <v>42402</v>
      </c>
      <c r="H21" s="6">
        <v>85.5</v>
      </c>
    </row>
    <row r="22" spans="1:8">
      <c r="A22" s="6">
        <v>201132</v>
      </c>
      <c r="B22" s="19" t="s">
        <v>105</v>
      </c>
      <c r="C22" s="11">
        <v>32297</v>
      </c>
      <c r="D22" s="6" t="s">
        <v>67</v>
      </c>
      <c r="E22" s="6" t="s">
        <v>68</v>
      </c>
      <c r="F22" s="6" t="s">
        <v>69</v>
      </c>
      <c r="G22" s="11">
        <v>41519</v>
      </c>
      <c r="H22" s="6">
        <v>75</v>
      </c>
    </row>
    <row r="23" spans="1:8">
      <c r="A23" s="6">
        <v>201135</v>
      </c>
      <c r="B23" s="19" t="s">
        <v>83</v>
      </c>
      <c r="C23" s="11">
        <v>31015</v>
      </c>
      <c r="D23" s="6" t="s">
        <v>67</v>
      </c>
      <c r="E23" s="6" t="s">
        <v>68</v>
      </c>
      <c r="F23" s="6" t="s">
        <v>69</v>
      </c>
      <c r="G23" s="11">
        <v>42553</v>
      </c>
      <c r="H23" s="6">
        <v>69.5</v>
      </c>
    </row>
    <row r="24" spans="1:8">
      <c r="A24" s="6">
        <v>201202</v>
      </c>
      <c r="B24" s="6" t="s">
        <v>93</v>
      </c>
      <c r="C24" s="11">
        <v>29407</v>
      </c>
      <c r="D24" s="6" t="s">
        <v>77</v>
      </c>
      <c r="E24" s="6" t="s">
        <v>78</v>
      </c>
      <c r="F24" s="6" t="s">
        <v>69</v>
      </c>
      <c r="G24" s="11">
        <v>41519</v>
      </c>
      <c r="H24" s="6">
        <v>90.5</v>
      </c>
    </row>
    <row r="25" spans="1:8">
      <c r="A25" s="6">
        <v>201204</v>
      </c>
      <c r="B25" s="6" t="s">
        <v>95</v>
      </c>
      <c r="C25" s="11">
        <v>30506</v>
      </c>
      <c r="D25" s="6" t="s">
        <v>77</v>
      </c>
      <c r="E25" s="6" t="s">
        <v>78</v>
      </c>
      <c r="F25" s="6" t="s">
        <v>64</v>
      </c>
      <c r="G25" s="11">
        <v>42431</v>
      </c>
      <c r="H25" s="6">
        <v>76.75</v>
      </c>
    </row>
    <row r="26" spans="1:8">
      <c r="A26" s="6">
        <v>201207</v>
      </c>
      <c r="B26" s="6" t="s">
        <v>1</v>
      </c>
      <c r="C26" s="11">
        <v>30104</v>
      </c>
      <c r="D26" s="6" t="s">
        <v>77</v>
      </c>
      <c r="E26" s="6" t="s">
        <v>78</v>
      </c>
      <c r="F26" s="6" t="s">
        <v>69</v>
      </c>
      <c r="G26" s="11">
        <v>41457</v>
      </c>
      <c r="H26" s="6">
        <v>86.25</v>
      </c>
    </row>
    <row r="27" spans="1:8">
      <c r="A27" s="6">
        <v>201209</v>
      </c>
      <c r="B27" s="19" t="s">
        <v>102</v>
      </c>
      <c r="C27" s="11">
        <v>30703</v>
      </c>
      <c r="D27" s="6" t="s">
        <v>77</v>
      </c>
      <c r="E27" s="6" t="s">
        <v>78</v>
      </c>
      <c r="F27" s="6" t="s">
        <v>69</v>
      </c>
      <c r="G27" s="11">
        <v>42402</v>
      </c>
      <c r="H27" s="6">
        <v>81.5</v>
      </c>
    </row>
    <row r="28" spans="1:8">
      <c r="A28" s="6">
        <v>201211</v>
      </c>
      <c r="B28" s="19" t="s">
        <v>82</v>
      </c>
      <c r="C28" s="11">
        <v>31718</v>
      </c>
      <c r="D28" s="6" t="s">
        <v>77</v>
      </c>
      <c r="E28" s="6" t="s">
        <v>78</v>
      </c>
      <c r="F28" s="6" t="s">
        <v>69</v>
      </c>
      <c r="G28" s="11">
        <v>41519</v>
      </c>
      <c r="H28" s="6">
        <v>78.5</v>
      </c>
    </row>
    <row r="29" spans="1:8">
      <c r="A29" s="6">
        <v>201303</v>
      </c>
      <c r="B29" s="6" t="s">
        <v>3</v>
      </c>
      <c r="C29" s="11">
        <v>29527</v>
      </c>
      <c r="D29" s="6" t="s">
        <v>73</v>
      </c>
      <c r="E29" s="6" t="s">
        <v>74</v>
      </c>
      <c r="F29" s="6" t="s">
        <v>69</v>
      </c>
      <c r="G29" s="11">
        <v>41549</v>
      </c>
      <c r="H29" s="6">
        <v>81.5</v>
      </c>
    </row>
    <row r="30" spans="1:8">
      <c r="A30" s="6">
        <v>201304</v>
      </c>
      <c r="B30" s="6" t="s">
        <v>96</v>
      </c>
      <c r="C30" s="11">
        <v>28649</v>
      </c>
      <c r="D30" s="6" t="s">
        <v>73</v>
      </c>
      <c r="E30" s="6" t="s">
        <v>74</v>
      </c>
      <c r="F30" s="6" t="s">
        <v>69</v>
      </c>
      <c r="G30" s="11">
        <v>42037</v>
      </c>
      <c r="H30" s="6">
        <v>82.5</v>
      </c>
    </row>
    <row r="31" spans="1:8">
      <c r="A31" s="6">
        <v>201309</v>
      </c>
      <c r="B31" s="19" t="s">
        <v>72</v>
      </c>
      <c r="C31" s="11">
        <v>28561</v>
      </c>
      <c r="D31" s="6" t="s">
        <v>73</v>
      </c>
      <c r="E31" s="6" t="s">
        <v>74</v>
      </c>
      <c r="F31" s="6" t="s">
        <v>64</v>
      </c>
      <c r="G31" s="11">
        <v>43648</v>
      </c>
      <c r="H31" s="6">
        <v>90.5</v>
      </c>
    </row>
    <row r="32" spans="1:8">
      <c r="A32" s="6">
        <v>201311</v>
      </c>
      <c r="B32" s="19" t="s">
        <v>88</v>
      </c>
      <c r="C32" s="11">
        <v>32401</v>
      </c>
      <c r="D32" s="6" t="s">
        <v>73</v>
      </c>
      <c r="E32" s="6" t="s">
        <v>74</v>
      </c>
      <c r="F32" s="6" t="s">
        <v>64</v>
      </c>
      <c r="G32" s="11">
        <v>43388</v>
      </c>
      <c r="H32" s="6">
        <v>91.75</v>
      </c>
    </row>
    <row r="33" spans="1:8">
      <c r="A33" s="6">
        <v>202101</v>
      </c>
      <c r="B33" s="6" t="s">
        <v>7</v>
      </c>
      <c r="C33" s="11">
        <v>30438</v>
      </c>
      <c r="D33" s="6" t="s">
        <v>70</v>
      </c>
      <c r="E33" s="6" t="s">
        <v>71</v>
      </c>
      <c r="F33" s="6" t="s">
        <v>64</v>
      </c>
      <c r="G33" s="11">
        <v>42431</v>
      </c>
      <c r="H33" s="6">
        <v>74.5</v>
      </c>
    </row>
    <row r="34" spans="1:8">
      <c r="A34" s="6">
        <v>202103</v>
      </c>
      <c r="B34" s="6" t="s">
        <v>86</v>
      </c>
      <c r="C34" s="11">
        <v>32389</v>
      </c>
      <c r="D34" s="6" t="s">
        <v>70</v>
      </c>
      <c r="E34" s="6" t="s">
        <v>71</v>
      </c>
      <c r="F34" s="6" t="s">
        <v>64</v>
      </c>
      <c r="G34" s="11">
        <v>42505</v>
      </c>
      <c r="H34" s="6">
        <v>66.5</v>
      </c>
    </row>
    <row r="35" spans="1:8">
      <c r="A35" s="6">
        <v>202109</v>
      </c>
      <c r="B35" s="6" t="s">
        <v>99</v>
      </c>
      <c r="C35" s="11">
        <v>31015</v>
      </c>
      <c r="D35" s="6" t="s">
        <v>70</v>
      </c>
      <c r="E35" s="6" t="s">
        <v>71</v>
      </c>
      <c r="F35" s="6" t="s">
        <v>64</v>
      </c>
      <c r="G35" s="11">
        <v>42431</v>
      </c>
      <c r="H35" s="6">
        <v>73.75</v>
      </c>
    </row>
    <row r="36" spans="1:8">
      <c r="A36" s="6">
        <v>202112</v>
      </c>
      <c r="B36" s="19" t="s">
        <v>107</v>
      </c>
      <c r="C36" s="11">
        <v>29953</v>
      </c>
      <c r="D36" s="6" t="s">
        <v>70</v>
      </c>
      <c r="E36" s="6" t="s">
        <v>71</v>
      </c>
      <c r="F36" s="6" t="s">
        <v>64</v>
      </c>
      <c r="G36" s="11">
        <v>43283</v>
      </c>
      <c r="H36" s="6">
        <v>86</v>
      </c>
    </row>
    <row r="37" spans="1:8">
      <c r="A37" s="6">
        <v>202204</v>
      </c>
      <c r="B37" s="6" t="s">
        <v>8</v>
      </c>
      <c r="C37" s="11">
        <v>33544</v>
      </c>
      <c r="D37" s="6" t="s">
        <v>65</v>
      </c>
      <c r="E37" s="6" t="s">
        <v>66</v>
      </c>
      <c r="F37" s="6" t="s">
        <v>64</v>
      </c>
      <c r="G37" s="11">
        <v>42431</v>
      </c>
      <c r="H37" s="6">
        <v>74.5</v>
      </c>
    </row>
    <row r="38" spans="1:8">
      <c r="A38" s="6">
        <v>202205</v>
      </c>
      <c r="B38" s="6" t="s">
        <v>11</v>
      </c>
      <c r="C38" s="11">
        <v>28561</v>
      </c>
      <c r="D38" s="6" t="s">
        <v>65</v>
      </c>
      <c r="E38" s="6" t="s">
        <v>66</v>
      </c>
      <c r="F38" s="6" t="s">
        <v>64</v>
      </c>
      <c r="G38" s="11">
        <v>43235</v>
      </c>
      <c r="H38" s="6">
        <v>81.25</v>
      </c>
    </row>
    <row r="39" spans="1:8">
      <c r="A39" s="6">
        <v>202207</v>
      </c>
      <c r="B39" s="6" t="s">
        <v>94</v>
      </c>
      <c r="C39" s="11">
        <v>31718</v>
      </c>
      <c r="D39" s="6" t="s">
        <v>65</v>
      </c>
      <c r="E39" s="6" t="s">
        <v>66</v>
      </c>
      <c r="F39" s="6" t="s">
        <v>64</v>
      </c>
      <c r="G39" s="11">
        <v>43526</v>
      </c>
      <c r="H39" s="6">
        <v>93.25</v>
      </c>
    </row>
    <row r="40" spans="1:8">
      <c r="A40" s="6">
        <v>202209</v>
      </c>
      <c r="B40" s="6" t="s">
        <v>75</v>
      </c>
      <c r="C40" s="11">
        <v>31718</v>
      </c>
      <c r="D40" s="6" t="s">
        <v>65</v>
      </c>
      <c r="E40" s="6" t="s">
        <v>66</v>
      </c>
      <c r="F40" s="6" t="s">
        <v>64</v>
      </c>
      <c r="G40" s="11">
        <v>43388</v>
      </c>
      <c r="H40" s="6">
        <v>85.5</v>
      </c>
    </row>
    <row r="41" spans="1:8">
      <c r="A41" s="6">
        <v>202209</v>
      </c>
      <c r="B41" s="19" t="s">
        <v>79</v>
      </c>
      <c r="C41" s="11">
        <v>33991</v>
      </c>
      <c r="D41" s="6" t="s">
        <v>65</v>
      </c>
      <c r="E41" s="6" t="s">
        <v>66</v>
      </c>
      <c r="F41" s="6" t="s">
        <v>64</v>
      </c>
      <c r="G41" s="11">
        <v>43556</v>
      </c>
      <c r="H41" s="6">
        <v>81.25</v>
      </c>
    </row>
    <row r="42" spans="1:8">
      <c r="A42" s="6">
        <v>202210</v>
      </c>
      <c r="B42" s="19" t="s">
        <v>92</v>
      </c>
      <c r="C42" s="11">
        <v>31802</v>
      </c>
      <c r="D42" s="6" t="s">
        <v>65</v>
      </c>
      <c r="E42" s="6" t="s">
        <v>66</v>
      </c>
      <c r="F42" s="6" t="s">
        <v>69</v>
      </c>
      <c r="G42" s="11">
        <v>41519</v>
      </c>
      <c r="H42" s="6">
        <v>93.5</v>
      </c>
    </row>
    <row r="43" spans="1:8">
      <c r="A43" s="6">
        <v>202301</v>
      </c>
      <c r="B43" s="6" t="s">
        <v>4</v>
      </c>
      <c r="C43" s="11">
        <v>32401</v>
      </c>
      <c r="D43" s="6" t="s">
        <v>63</v>
      </c>
      <c r="E43" s="6" t="s">
        <v>55</v>
      </c>
      <c r="F43" s="6" t="s">
        <v>69</v>
      </c>
      <c r="G43" s="11">
        <v>41519</v>
      </c>
      <c r="H43" s="6">
        <v>76</v>
      </c>
    </row>
    <row r="44" spans="1:8">
      <c r="A44" s="6">
        <v>202303</v>
      </c>
      <c r="B44" s="6" t="s">
        <v>101</v>
      </c>
      <c r="C44" s="11">
        <v>30683</v>
      </c>
      <c r="D44" s="6" t="s">
        <v>63</v>
      </c>
      <c r="E44" s="6" t="s">
        <v>55</v>
      </c>
      <c r="F44" s="6" t="s">
        <v>69</v>
      </c>
      <c r="G44" s="11">
        <v>42065</v>
      </c>
      <c r="H44" s="6">
        <v>76.5</v>
      </c>
    </row>
    <row r="45" spans="1:8">
      <c r="A45" s="6">
        <v>202304</v>
      </c>
      <c r="B45" s="19" t="s">
        <v>109</v>
      </c>
      <c r="C45" s="11">
        <v>33079</v>
      </c>
      <c r="D45" s="6" t="s">
        <v>63</v>
      </c>
      <c r="E45" s="6" t="s">
        <v>55</v>
      </c>
      <c r="F45" s="6" t="s">
        <v>64</v>
      </c>
      <c r="G45" s="11">
        <v>42796</v>
      </c>
      <c r="H45" s="6">
        <v>80.5</v>
      </c>
    </row>
    <row r="46" spans="1:8">
      <c r="A46" s="6">
        <v>202305</v>
      </c>
      <c r="B46" s="19" t="s">
        <v>62</v>
      </c>
      <c r="C46" s="11">
        <v>33510</v>
      </c>
      <c r="D46" s="6" t="s">
        <v>63</v>
      </c>
      <c r="E46" s="6" t="s">
        <v>55</v>
      </c>
      <c r="F46" s="6" t="s">
        <v>64</v>
      </c>
      <c r="G46" s="11">
        <v>42918</v>
      </c>
      <c r="H46" s="6">
        <v>73.25</v>
      </c>
    </row>
    <row r="47" spans="1:8">
      <c r="A47" s="6">
        <v>202309</v>
      </c>
      <c r="B47" s="19" t="s">
        <v>103</v>
      </c>
      <c r="C47" s="11">
        <v>31675</v>
      </c>
      <c r="D47" s="6" t="s">
        <v>63</v>
      </c>
      <c r="E47" s="6" t="s">
        <v>55</v>
      </c>
      <c r="F47" s="6" t="s">
        <v>64</v>
      </c>
      <c r="G47" s="11">
        <v>42796</v>
      </c>
      <c r="H47" s="6">
        <v>76.75</v>
      </c>
    </row>
    <row r="48" spans="1:8">
      <c r="A48" s="6">
        <v>202315</v>
      </c>
      <c r="B48" s="19" t="s">
        <v>90</v>
      </c>
      <c r="C48" s="11">
        <v>30683</v>
      </c>
      <c r="D48" s="6" t="s">
        <v>63</v>
      </c>
      <c r="E48" s="6" t="s">
        <v>55</v>
      </c>
      <c r="F48" s="6" t="s">
        <v>64</v>
      </c>
      <c r="G48" s="11">
        <v>43023</v>
      </c>
      <c r="H48" s="6">
        <v>82.5</v>
      </c>
    </row>
  </sheetData>
  <sortState xmlns:xlrd2="http://schemas.microsoft.com/office/spreadsheetml/2017/richdata2" ref="A3:H48">
    <sortCondition ref="A2"/>
  </sortState>
  <phoneticPr fontId="2" type="noConversion"/>
  <printOptions headings="1"/>
  <pageMargins left="0.74803149606299213" right="0.74803149606299213" top="0.98425196850393704" bottom="0.98425196850393704" header="0.51181102362204722" footer="0.51181102362204722"/>
  <pageSetup paperSize="9" scale="93" orientation="portrait" verticalDpi="200" r:id="rId1"/>
  <headerFooter alignWithMargins="0">
    <oddHeader>&amp;R&amp;D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N35"/>
  <sheetViews>
    <sheetView workbookViewId="0"/>
  </sheetViews>
  <sheetFormatPr defaultColWidth="8.88671875" defaultRowHeight="16.5"/>
  <cols>
    <col min="1" max="8" width="9.6640625" style="1" customWidth="1"/>
    <col min="9" max="9" width="2.6640625" style="1" customWidth="1"/>
    <col min="10" max="10" width="10.44140625" style="1" bestFit="1" customWidth="1"/>
    <col min="11" max="11" width="19.5546875" style="1" customWidth="1"/>
    <col min="12" max="16384" width="8.88671875" style="1"/>
  </cols>
  <sheetData>
    <row r="2" spans="1:14">
      <c r="A2" s="1" t="s">
        <v>12</v>
      </c>
      <c r="J2" s="1" t="s">
        <v>13</v>
      </c>
      <c r="K2" s="1" t="s">
        <v>14</v>
      </c>
    </row>
    <row r="3" spans="1:14">
      <c r="A3" s="2" t="s">
        <v>15</v>
      </c>
      <c r="B3" s="2" t="s">
        <v>16</v>
      </c>
      <c r="C3" s="2" t="s">
        <v>17</v>
      </c>
      <c r="D3" s="2" t="s">
        <v>111</v>
      </c>
      <c r="E3" s="2" t="s">
        <v>112</v>
      </c>
      <c r="F3" s="2" t="s">
        <v>113</v>
      </c>
      <c r="G3" s="2" t="s">
        <v>114</v>
      </c>
      <c r="H3" s="13" t="s">
        <v>18</v>
      </c>
      <c r="J3" s="2" t="s">
        <v>19</v>
      </c>
      <c r="K3" s="13" t="s">
        <v>134</v>
      </c>
      <c r="M3" s="17" t="s">
        <v>21</v>
      </c>
      <c r="N3" s="17" t="s">
        <v>130</v>
      </c>
    </row>
    <row r="4" spans="1:14">
      <c r="A4" s="14">
        <v>1</v>
      </c>
      <c r="B4" s="14" t="s">
        <v>62</v>
      </c>
      <c r="C4" s="14" t="s">
        <v>55</v>
      </c>
      <c r="D4" s="5">
        <v>68</v>
      </c>
      <c r="E4" s="5">
        <v>72</v>
      </c>
      <c r="F4" s="5">
        <v>68</v>
      </c>
      <c r="G4" s="5">
        <v>85</v>
      </c>
      <c r="H4" s="5" cm="1">
        <f t="array" ref="H4">fn총점(D4,E4,F4,G4)</f>
        <v>72.199999999999989</v>
      </c>
      <c r="J4" s="14" t="s">
        <v>20</v>
      </c>
      <c r="K4" s="14" t="str">
        <f t="array" ref="K4">TEXT(AVERAGE(IF($C$4:$C$26=J4,$D$4:$D$26)),"0.0점")</f>
        <v>68.0점</v>
      </c>
      <c r="M4" s="2" t="s">
        <v>22</v>
      </c>
      <c r="N4" s="13" t="s">
        <v>15</v>
      </c>
    </row>
    <row r="5" spans="1:14">
      <c r="A5" s="14">
        <v>2</v>
      </c>
      <c r="B5" s="14" t="s">
        <v>8</v>
      </c>
      <c r="C5" s="14" t="s">
        <v>66</v>
      </c>
      <c r="D5" s="5">
        <v>69</v>
      </c>
      <c r="E5" s="5">
        <v>72</v>
      </c>
      <c r="F5" s="5">
        <v>68</v>
      </c>
      <c r="G5" s="5">
        <v>89</v>
      </c>
      <c r="H5" s="5" cm="1">
        <f t="array" ref="H5">fn총점(D5,E5,F5,G5)</f>
        <v>73.3</v>
      </c>
      <c r="J5" s="14" t="s">
        <v>116</v>
      </c>
      <c r="K5" s="14" t="str">
        <f t="array" ref="K5">TEXT(AVERAGE(IF($C$4:$C$26=J5,$D$4:$D$26)),"0.0점")</f>
        <v>76.5점</v>
      </c>
      <c r="M5" s="14" t="s">
        <v>131</v>
      </c>
      <c r="N5" s="5" t="str">
        <f>_xlfn.CONCAT(MATCH(DMAX(A3:H26,G3,M4:M5),G4:G26,0),"번")</f>
        <v>19번</v>
      </c>
    </row>
    <row r="6" spans="1:14">
      <c r="A6" s="14">
        <v>3</v>
      </c>
      <c r="B6" s="14" t="s">
        <v>10</v>
      </c>
      <c r="C6" s="15" t="s">
        <v>68</v>
      </c>
      <c r="D6" s="5">
        <v>77</v>
      </c>
      <c r="E6" s="5">
        <v>80</v>
      </c>
      <c r="F6" s="5">
        <v>82</v>
      </c>
      <c r="G6" s="5">
        <v>91</v>
      </c>
      <c r="H6" s="5" cm="1">
        <f t="array" ref="H6">fn총점(D6,E6,F6,G6)</f>
        <v>81.899999999999991</v>
      </c>
      <c r="J6" s="14" t="s">
        <v>117</v>
      </c>
      <c r="K6" s="14" t="str">
        <f t="array" ref="K6">TEXT(AVERAGE(IF($C$4:$C$26=J6,$D$4:$D$26)),"0.0점")</f>
        <v>81.3점</v>
      </c>
    </row>
    <row r="7" spans="1:14">
      <c r="A7" s="14">
        <v>4</v>
      </c>
      <c r="B7" s="14" t="s">
        <v>7</v>
      </c>
      <c r="C7" s="15" t="s">
        <v>71</v>
      </c>
      <c r="D7" s="5">
        <v>68</v>
      </c>
      <c r="E7" s="5">
        <v>77</v>
      </c>
      <c r="F7" s="5">
        <v>75</v>
      </c>
      <c r="G7" s="5">
        <v>78</v>
      </c>
      <c r="H7" s="5" cm="1">
        <f t="array" ref="H7">fn총점(D7,E7,F7,G7)</f>
        <v>73.900000000000006</v>
      </c>
      <c r="J7" s="14" t="s">
        <v>118</v>
      </c>
      <c r="K7" s="14" t="str">
        <f t="array" ref="K7">TEXT(AVERAGE(IF($C$4:$C$26=J7,$D$4:$D$26)),"0.0점")</f>
        <v>62.0점</v>
      </c>
    </row>
    <row r="8" spans="1:14">
      <c r="A8" s="14">
        <v>5</v>
      </c>
      <c r="B8" s="14" t="s">
        <v>72</v>
      </c>
      <c r="C8" s="16" t="s">
        <v>74</v>
      </c>
      <c r="D8" s="5">
        <v>95</v>
      </c>
      <c r="E8" s="5">
        <v>90</v>
      </c>
      <c r="F8" s="5">
        <v>87</v>
      </c>
      <c r="G8" s="5">
        <v>90</v>
      </c>
      <c r="H8" s="5" cm="1">
        <f t="array" ref="H8">fn총점(D8,E8,F8,G8)</f>
        <v>90.6</v>
      </c>
      <c r="J8" s="14" t="s">
        <v>119</v>
      </c>
      <c r="K8" s="14" t="str">
        <f t="array" ref="K8">TEXT(AVERAGE(IF($C$4:$C$26=J8,$D$4:$D$26)),"0.0점")</f>
        <v>92.5점</v>
      </c>
    </row>
    <row r="9" spans="1:14">
      <c r="A9" s="14">
        <v>6</v>
      </c>
      <c r="B9" s="14" t="s">
        <v>75</v>
      </c>
      <c r="C9" s="15" t="s">
        <v>66</v>
      </c>
      <c r="D9" s="5">
        <v>79</v>
      </c>
      <c r="E9" s="5">
        <v>82</v>
      </c>
      <c r="F9" s="5">
        <v>90</v>
      </c>
      <c r="G9" s="5">
        <v>91</v>
      </c>
      <c r="H9" s="5" cm="1">
        <f t="array" ref="H9">fn총점(D9,E9,F9,G9)</f>
        <v>85.3</v>
      </c>
      <c r="J9" s="14" t="s">
        <v>120</v>
      </c>
      <c r="K9" s="14" t="str">
        <f t="array" ref="K9">TEXT(AVERAGE(IF($C$4:$C$26=J9,$D$4:$D$26)),"0.0점")</f>
        <v>87.0점</v>
      </c>
    </row>
    <row r="10" spans="1:14">
      <c r="A10" s="14">
        <v>7</v>
      </c>
      <c r="B10" s="14" t="s">
        <v>76</v>
      </c>
      <c r="C10" s="15" t="s">
        <v>68</v>
      </c>
      <c r="D10" s="5">
        <v>80</v>
      </c>
      <c r="E10" s="5">
        <v>61</v>
      </c>
      <c r="F10" s="5">
        <v>62</v>
      </c>
      <c r="G10" s="5">
        <v>75</v>
      </c>
      <c r="H10" s="5" cm="1">
        <f t="array" ref="H10">fn총점(D10,E10,F10,G10)</f>
        <v>69.8</v>
      </c>
    </row>
    <row r="11" spans="1:14">
      <c r="A11" s="14">
        <v>8</v>
      </c>
      <c r="B11" s="14" t="s">
        <v>1</v>
      </c>
      <c r="C11" s="15" t="s">
        <v>78</v>
      </c>
      <c r="D11" s="5">
        <v>92</v>
      </c>
      <c r="E11" s="5">
        <v>90</v>
      </c>
      <c r="F11" s="5">
        <v>78</v>
      </c>
      <c r="G11" s="5">
        <v>85</v>
      </c>
      <c r="H11" s="5" cm="1">
        <f t="array" ref="H11">fn총점(D11,E11,F11,G11)</f>
        <v>86</v>
      </c>
    </row>
    <row r="12" spans="1:14">
      <c r="A12" s="14">
        <v>9</v>
      </c>
      <c r="B12" s="14" t="s">
        <v>79</v>
      </c>
      <c r="C12" s="15" t="s">
        <v>66</v>
      </c>
      <c r="D12" s="5">
        <v>76</v>
      </c>
      <c r="E12" s="5">
        <v>82</v>
      </c>
      <c r="F12" s="5">
        <v>86</v>
      </c>
      <c r="G12" s="5">
        <v>81</v>
      </c>
      <c r="H12" s="5" cm="1">
        <f t="array" ref="H12">fn총점(D12,E12,F12,G12)</f>
        <v>81.2</v>
      </c>
    </row>
    <row r="13" spans="1:14">
      <c r="A13" s="14">
        <v>10</v>
      </c>
      <c r="B13" s="14" t="s">
        <v>5</v>
      </c>
      <c r="C13" s="14" t="s">
        <v>68</v>
      </c>
      <c r="D13" s="5">
        <v>87</v>
      </c>
      <c r="E13" s="5">
        <v>85</v>
      </c>
      <c r="F13" s="5">
        <v>82</v>
      </c>
      <c r="G13" s="5">
        <v>70</v>
      </c>
      <c r="H13" s="5" cm="1">
        <f t="array" ref="H13">fn총점(D13,E13,F13,G13)</f>
        <v>81.699999999999989</v>
      </c>
    </row>
    <row r="14" spans="1:14">
      <c r="A14" s="14">
        <v>11</v>
      </c>
      <c r="B14" s="14" t="s">
        <v>80</v>
      </c>
      <c r="C14" s="14" t="s">
        <v>68</v>
      </c>
      <c r="D14" s="5">
        <v>91</v>
      </c>
      <c r="E14" s="5">
        <v>90</v>
      </c>
      <c r="F14" s="5">
        <v>92</v>
      </c>
      <c r="G14" s="5">
        <v>89</v>
      </c>
      <c r="H14" s="5" cm="1">
        <f t="array" ref="H14">fn총점(D14,E14,F14,G14)</f>
        <v>90.699999999999989</v>
      </c>
    </row>
    <row r="15" spans="1:14">
      <c r="A15" s="14">
        <v>12</v>
      </c>
      <c r="B15" s="14" t="s">
        <v>81</v>
      </c>
      <c r="C15" s="15" t="s">
        <v>68</v>
      </c>
      <c r="D15" s="5">
        <v>95</v>
      </c>
      <c r="E15" s="5">
        <v>89</v>
      </c>
      <c r="F15" s="5">
        <v>82</v>
      </c>
      <c r="G15" s="5">
        <v>80</v>
      </c>
      <c r="H15" s="5" cm="1">
        <f t="array" ref="H15">fn총점(D15,E15,F15,G15)</f>
        <v>86.899999999999991</v>
      </c>
      <c r="J15" s="1" t="s">
        <v>23</v>
      </c>
      <c r="K15" s="1" t="s">
        <v>132</v>
      </c>
    </row>
    <row r="16" spans="1:14">
      <c r="A16" s="14">
        <v>13</v>
      </c>
      <c r="B16" s="14" t="s">
        <v>11</v>
      </c>
      <c r="C16" s="15" t="s">
        <v>66</v>
      </c>
      <c r="D16" s="5">
        <v>82</v>
      </c>
      <c r="E16" s="5">
        <v>80</v>
      </c>
      <c r="F16" s="5">
        <v>75</v>
      </c>
      <c r="G16" s="5">
        <v>88</v>
      </c>
      <c r="H16" s="5" cm="1">
        <f t="array" ref="H16">fn총점(D16,E16,F16,G16)</f>
        <v>80.699999999999989</v>
      </c>
      <c r="J16" s="2" t="s">
        <v>121</v>
      </c>
      <c r="K16" s="13" t="s">
        <v>24</v>
      </c>
    </row>
    <row r="17" spans="1:11">
      <c r="A17" s="14">
        <v>14</v>
      </c>
      <c r="B17" s="14" t="s">
        <v>6</v>
      </c>
      <c r="C17" s="15" t="s">
        <v>68</v>
      </c>
      <c r="D17" s="5">
        <v>57</v>
      </c>
      <c r="E17" s="5">
        <v>76</v>
      </c>
      <c r="F17" s="5">
        <v>84</v>
      </c>
      <c r="G17" s="5">
        <v>91</v>
      </c>
      <c r="H17" s="5" cm="1">
        <f t="array" ref="H17">fn총점(D17,E17,F17,G17)</f>
        <v>0</v>
      </c>
      <c r="J17" s="14">
        <v>60</v>
      </c>
      <c r="K17" s="14" t="str">
        <f t="array" ref="K17:K21">TEXT(FREQUENCY(D4:D26,J17:J21),"0명")</f>
        <v>2명</v>
      </c>
    </row>
    <row r="18" spans="1:11">
      <c r="A18" s="14">
        <v>15</v>
      </c>
      <c r="B18" s="14" t="s">
        <v>82</v>
      </c>
      <c r="C18" s="15" t="s">
        <v>78</v>
      </c>
      <c r="D18" s="5">
        <v>82</v>
      </c>
      <c r="E18" s="5">
        <v>77</v>
      </c>
      <c r="F18" s="5">
        <v>78</v>
      </c>
      <c r="G18" s="5">
        <v>77</v>
      </c>
      <c r="H18" s="5" cm="1">
        <f t="array" ref="H18">fn총점(D18,E18,F18,G18)</f>
        <v>78.8</v>
      </c>
      <c r="J18" s="14">
        <v>70</v>
      </c>
      <c r="K18" s="14" t="str">
        <v>4명</v>
      </c>
    </row>
    <row r="19" spans="1:11">
      <c r="A19" s="14">
        <v>16</v>
      </c>
      <c r="B19" s="14" t="s">
        <v>83</v>
      </c>
      <c r="C19" s="16" t="s">
        <v>68</v>
      </c>
      <c r="D19" s="5">
        <v>76</v>
      </c>
      <c r="E19" s="5">
        <v>68</v>
      </c>
      <c r="F19" s="5">
        <v>65</v>
      </c>
      <c r="G19" s="5">
        <v>69</v>
      </c>
      <c r="H19" s="5" cm="1">
        <f t="array" ref="H19">fn총점(D19,E19,F19,G19)</f>
        <v>69.7</v>
      </c>
      <c r="J19" s="14">
        <v>80</v>
      </c>
      <c r="K19" s="14" t="str">
        <v>7명</v>
      </c>
    </row>
    <row r="20" spans="1:11">
      <c r="A20" s="14">
        <v>17</v>
      </c>
      <c r="B20" s="14" t="s">
        <v>84</v>
      </c>
      <c r="C20" s="15" t="s">
        <v>68</v>
      </c>
      <c r="D20" s="5">
        <v>68</v>
      </c>
      <c r="E20" s="5">
        <v>78</v>
      </c>
      <c r="F20" s="5">
        <v>91</v>
      </c>
      <c r="G20" s="5">
        <v>82</v>
      </c>
      <c r="H20" s="5" cm="1">
        <f t="array" ref="H20">fn총점(D20,E20,F20,G20)</f>
        <v>79.7</v>
      </c>
      <c r="J20" s="14">
        <v>90</v>
      </c>
      <c r="K20" s="14" t="str">
        <v>4명</v>
      </c>
    </row>
    <row r="21" spans="1:11">
      <c r="A21" s="14">
        <v>18</v>
      </c>
      <c r="B21" s="14" t="s">
        <v>2</v>
      </c>
      <c r="C21" s="15" t="s">
        <v>68</v>
      </c>
      <c r="D21" s="5">
        <v>91</v>
      </c>
      <c r="E21" s="5">
        <v>78</v>
      </c>
      <c r="F21" s="5">
        <v>85</v>
      </c>
      <c r="G21" s="5">
        <v>82</v>
      </c>
      <c r="H21" s="5" cm="1">
        <f t="array" ref="H21">fn총점(D21,E21,F21,G21)</f>
        <v>84.800000000000011</v>
      </c>
      <c r="J21" s="14">
        <v>100</v>
      </c>
      <c r="K21" s="14" t="str">
        <v>6명</v>
      </c>
    </row>
    <row r="22" spans="1:11">
      <c r="A22" s="14">
        <v>19</v>
      </c>
      <c r="B22" s="14" t="s">
        <v>85</v>
      </c>
      <c r="C22" s="15" t="s">
        <v>68</v>
      </c>
      <c r="D22" s="5">
        <v>78</v>
      </c>
      <c r="E22" s="5">
        <v>69</v>
      </c>
      <c r="F22" s="5">
        <v>70</v>
      </c>
      <c r="G22" s="5">
        <v>92</v>
      </c>
      <c r="H22" s="5" cm="1">
        <f t="array" ref="H22">fn총점(D22,E22,F22,G22)</f>
        <v>76.600000000000009</v>
      </c>
    </row>
    <row r="23" spans="1:11">
      <c r="A23" s="14">
        <v>20</v>
      </c>
      <c r="B23" s="14" t="s">
        <v>86</v>
      </c>
      <c r="C23" s="16" t="s">
        <v>71</v>
      </c>
      <c r="D23" s="5">
        <v>56</v>
      </c>
      <c r="E23" s="5">
        <v>67</v>
      </c>
      <c r="F23" s="5">
        <v>87</v>
      </c>
      <c r="G23" s="5">
        <v>56</v>
      </c>
      <c r="H23" s="5" cm="1">
        <f t="array" ref="H23">fn총점(D23,E23,F23,G23)</f>
        <v>0</v>
      </c>
    </row>
    <row r="24" spans="1:11">
      <c r="A24" s="14">
        <v>21</v>
      </c>
      <c r="B24" s="14" t="s">
        <v>87</v>
      </c>
      <c r="C24" s="15" t="s">
        <v>68</v>
      </c>
      <c r="D24" s="5">
        <v>78</v>
      </c>
      <c r="E24" s="5">
        <v>91</v>
      </c>
      <c r="F24" s="5">
        <v>92</v>
      </c>
      <c r="G24" s="5">
        <v>91</v>
      </c>
      <c r="H24" s="5" cm="1">
        <f t="array" ref="H24">fn총점(D24,E24,F24,G24)</f>
        <v>87.399999999999991</v>
      </c>
    </row>
    <row r="25" spans="1:11">
      <c r="A25" s="14">
        <v>22</v>
      </c>
      <c r="B25" s="14" t="s">
        <v>88</v>
      </c>
      <c r="C25" s="15" t="s">
        <v>74</v>
      </c>
      <c r="D25" s="5">
        <v>90</v>
      </c>
      <c r="E25" s="5">
        <v>87</v>
      </c>
      <c r="F25" s="5">
        <v>98</v>
      </c>
      <c r="G25" s="5">
        <v>92</v>
      </c>
      <c r="H25" s="5" cm="1">
        <f t="array" ref="H25">fn총점(D25,E25,F25,G25)</f>
        <v>92.200000000000017</v>
      </c>
    </row>
    <row r="26" spans="1:11">
      <c r="A26" s="14">
        <v>23</v>
      </c>
      <c r="B26" s="14" t="s">
        <v>89</v>
      </c>
      <c r="C26" s="15" t="s">
        <v>68</v>
      </c>
      <c r="D26" s="5">
        <v>98</v>
      </c>
      <c r="E26" s="5">
        <v>90</v>
      </c>
      <c r="F26" s="5">
        <v>80</v>
      </c>
      <c r="G26" s="5">
        <v>85</v>
      </c>
      <c r="H26" s="5" cm="1">
        <f t="array" ref="H26">fn총점(D26,E26,F26,G26)</f>
        <v>88.4</v>
      </c>
    </row>
    <row r="28" spans="1:11">
      <c r="A28" s="1" t="s">
        <v>25</v>
      </c>
      <c r="J28" s="1" t="s">
        <v>26</v>
      </c>
    </row>
    <row r="29" spans="1:11">
      <c r="A29" s="2" t="s">
        <v>27</v>
      </c>
      <c r="B29" s="18">
        <v>0.3</v>
      </c>
      <c r="C29" s="18">
        <v>0.2</v>
      </c>
      <c r="D29" s="18">
        <v>0.3</v>
      </c>
      <c r="E29" s="18">
        <v>0.2</v>
      </c>
      <c r="F29" s="13" t="s">
        <v>28</v>
      </c>
      <c r="J29" s="14" t="s">
        <v>29</v>
      </c>
      <c r="K29" s="14" t="s">
        <v>28</v>
      </c>
    </row>
    <row r="30" spans="1:11">
      <c r="A30" s="14" t="s">
        <v>90</v>
      </c>
      <c r="B30" s="5">
        <v>90</v>
      </c>
      <c r="C30" s="5">
        <v>92</v>
      </c>
      <c r="D30" s="5">
        <v>95</v>
      </c>
      <c r="E30" s="5">
        <v>90</v>
      </c>
      <c r="F30" s="14" t="str">
        <f>VLOOKUP(SUMPRODUCT($B$29:$E$29,B30:E30),$J$30:$K$34,2)</f>
        <v>A</v>
      </c>
      <c r="J30" s="14">
        <v>0</v>
      </c>
      <c r="K30" s="14" t="s">
        <v>30</v>
      </c>
    </row>
    <row r="31" spans="1:11">
      <c r="A31" s="14" t="s">
        <v>115</v>
      </c>
      <c r="B31" s="5">
        <v>95</v>
      </c>
      <c r="C31" s="5">
        <v>95</v>
      </c>
      <c r="D31" s="5">
        <v>89</v>
      </c>
      <c r="E31" s="5">
        <v>82</v>
      </c>
      <c r="F31" s="14" t="str">
        <f t="shared" ref="F31:F35" si="0">VLOOKUP(SUMPRODUCT($B$29:$E$29,B31:E31),$J$30:$K$34,2)</f>
        <v>A</v>
      </c>
      <c r="J31" s="14">
        <v>60</v>
      </c>
      <c r="K31" s="14" t="s">
        <v>31</v>
      </c>
    </row>
    <row r="32" spans="1:11">
      <c r="A32" s="14" t="s">
        <v>92</v>
      </c>
      <c r="B32" s="5">
        <v>92</v>
      </c>
      <c r="C32" s="5">
        <v>68</v>
      </c>
      <c r="D32" s="5">
        <v>77</v>
      </c>
      <c r="E32" s="5">
        <v>75</v>
      </c>
      <c r="F32" s="14" t="str">
        <f t="shared" si="0"/>
        <v>C</v>
      </c>
      <c r="J32" s="14">
        <v>70</v>
      </c>
      <c r="K32" s="14" t="s">
        <v>32</v>
      </c>
    </row>
    <row r="33" spans="1:11">
      <c r="A33" s="14" t="s">
        <v>93</v>
      </c>
      <c r="B33" s="5">
        <v>65</v>
      </c>
      <c r="C33" s="5">
        <v>56</v>
      </c>
      <c r="D33" s="5">
        <v>67</v>
      </c>
      <c r="E33" s="5">
        <v>87</v>
      </c>
      <c r="F33" s="14" t="str">
        <f t="shared" si="0"/>
        <v>D</v>
      </c>
      <c r="J33" s="14">
        <v>80</v>
      </c>
      <c r="K33" s="14" t="s">
        <v>33</v>
      </c>
    </row>
    <row r="34" spans="1:11">
      <c r="A34" s="14" t="s">
        <v>4</v>
      </c>
      <c r="B34" s="5">
        <v>97</v>
      </c>
      <c r="C34" s="5">
        <v>89</v>
      </c>
      <c r="D34" s="5">
        <v>88</v>
      </c>
      <c r="E34" s="5">
        <v>77</v>
      </c>
      <c r="F34" s="14" t="str">
        <f t="shared" si="0"/>
        <v>B</v>
      </c>
      <c r="J34" s="14">
        <v>90</v>
      </c>
      <c r="K34" s="14" t="s">
        <v>34</v>
      </c>
    </row>
    <row r="35" spans="1:11">
      <c r="A35" s="14" t="s">
        <v>94</v>
      </c>
      <c r="B35" s="5">
        <v>59</v>
      </c>
      <c r="C35" s="5">
        <v>69</v>
      </c>
      <c r="D35" s="5">
        <v>72</v>
      </c>
      <c r="E35" s="5">
        <v>68</v>
      </c>
      <c r="F35" s="14" t="str">
        <f t="shared" si="0"/>
        <v>D</v>
      </c>
    </row>
  </sheetData>
  <phoneticPr fontId="2" type="noConversion"/>
  <pageMargins left="0.75" right="0.75" top="1" bottom="1" header="0.5" footer="0.5"/>
  <pageSetup paperSize="9" orientation="portrait" horizontalDpi="0" verticalDpi="20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F70"/>
  <sheetViews>
    <sheetView workbookViewId="0">
      <selection activeCell="F6" sqref="F6"/>
    </sheetView>
  </sheetViews>
  <sheetFormatPr defaultColWidth="8.77734375" defaultRowHeight="16.5"/>
  <cols>
    <col min="1" max="1" width="8.77734375" style="1"/>
    <col min="2" max="2" width="18" style="1" customWidth="1"/>
    <col min="3" max="3" width="10.44140625" style="1" customWidth="1"/>
    <col min="4" max="4" width="10.6640625" style="1" bestFit="1" customWidth="1"/>
    <col min="5" max="5" width="9" style="1" customWidth="1"/>
    <col min="6" max="6" width="10.6640625" style="1" bestFit="1" customWidth="1"/>
    <col min="7" max="16384" width="8.77734375" style="1"/>
  </cols>
  <sheetData>
    <row r="2" spans="2:6">
      <c r="B2" s="21" t="s">
        <v>60</v>
      </c>
      <c r="C2" s="21" t="s">
        <v>61</v>
      </c>
      <c r="D2" t="s">
        <v>150</v>
      </c>
      <c r="E2" t="s">
        <v>144</v>
      </c>
      <c r="F2"/>
    </row>
    <row r="3" spans="2:6">
      <c r="B3" t="s">
        <v>69</v>
      </c>
      <c r="C3"/>
      <c r="D3">
        <v>2028</v>
      </c>
      <c r="E3" s="22">
        <v>0.54439299375880812</v>
      </c>
      <c r="F3"/>
    </row>
    <row r="4" spans="2:6">
      <c r="B4"/>
      <c r="C4" t="s">
        <v>136</v>
      </c>
      <c r="D4">
        <v>92.25</v>
      </c>
      <c r="E4" s="22">
        <v>2.4763438695389571E-2</v>
      </c>
      <c r="F4"/>
    </row>
    <row r="5" spans="2:6">
      <c r="B5"/>
      <c r="C5" t="s">
        <v>137</v>
      </c>
      <c r="D5">
        <v>1015</v>
      </c>
      <c r="E5" s="22">
        <v>0.2724649352392457</v>
      </c>
      <c r="F5"/>
    </row>
    <row r="6" spans="2:6">
      <c r="B6"/>
      <c r="C6" t="s">
        <v>138</v>
      </c>
      <c r="D6">
        <v>454.5</v>
      </c>
      <c r="E6" s="22">
        <v>0.12200523454801691</v>
      </c>
      <c r="F6"/>
    </row>
    <row r="7" spans="2:6">
      <c r="B7"/>
      <c r="C7" t="s">
        <v>139</v>
      </c>
      <c r="D7">
        <v>159</v>
      </c>
      <c r="E7" s="22">
        <v>4.2681699214817799E-2</v>
      </c>
      <c r="F7"/>
    </row>
    <row r="8" spans="2:6">
      <c r="B8"/>
      <c r="C8" t="s">
        <v>140</v>
      </c>
      <c r="D8">
        <v>232</v>
      </c>
      <c r="E8" s="22">
        <v>6.2277699483256156E-2</v>
      </c>
      <c r="F8"/>
    </row>
    <row r="9" spans="2:6">
      <c r="B9"/>
      <c r="C9" t="s">
        <v>141</v>
      </c>
      <c r="D9">
        <v>75.25</v>
      </c>
      <c r="E9" s="22">
        <v>2.0199986578082009E-2</v>
      </c>
      <c r="F9"/>
    </row>
    <row r="10" spans="2:6">
      <c r="B10" t="s">
        <v>64</v>
      </c>
      <c r="C10"/>
      <c r="D10">
        <v>1697.25</v>
      </c>
      <c r="E10" s="22">
        <v>0.45560700624119188</v>
      </c>
      <c r="F10"/>
    </row>
    <row r="11" spans="2:6">
      <c r="B11"/>
      <c r="C11" t="s">
        <v>140</v>
      </c>
      <c r="D11">
        <v>537.5</v>
      </c>
      <c r="E11" s="22">
        <v>0.14428561841487147</v>
      </c>
      <c r="F11"/>
    </row>
    <row r="12" spans="2:6">
      <c r="B12"/>
      <c r="C12" t="s">
        <v>141</v>
      </c>
      <c r="D12">
        <v>313</v>
      </c>
      <c r="E12" s="22">
        <v>8.4021206630427489E-2</v>
      </c>
      <c r="F12"/>
    </row>
    <row r="13" spans="2:6">
      <c r="B13"/>
      <c r="C13" t="s">
        <v>142</v>
      </c>
      <c r="D13">
        <v>504.5</v>
      </c>
      <c r="E13" s="22">
        <v>0.13542715254009799</v>
      </c>
      <c r="F13"/>
    </row>
    <row r="14" spans="2:6">
      <c r="B14"/>
      <c r="C14" t="s">
        <v>143</v>
      </c>
      <c r="D14">
        <v>342.25</v>
      </c>
      <c r="E14" s="22">
        <v>9.1873028655794914E-2</v>
      </c>
      <c r="F14"/>
    </row>
    <row r="15" spans="2:6">
      <c r="B15" t="s">
        <v>149</v>
      </c>
      <c r="C15"/>
      <c r="D15"/>
      <c r="E15" s="22">
        <v>0</v>
      </c>
      <c r="F15"/>
    </row>
    <row r="16" spans="2:6">
      <c r="B16"/>
      <c r="C16" t="s">
        <v>149</v>
      </c>
      <c r="D16"/>
      <c r="E16" s="22">
        <v>0</v>
      </c>
      <c r="F16"/>
    </row>
    <row r="17" spans="2:6">
      <c r="B17" t="s">
        <v>135</v>
      </c>
      <c r="C17"/>
      <c r="D17">
        <v>3725.25</v>
      </c>
      <c r="E17" s="22">
        <v>1</v>
      </c>
      <c r="F17"/>
    </row>
    <row r="18" spans="2:6">
      <c r="B18"/>
      <c r="C18"/>
      <c r="D18"/>
    </row>
    <row r="19" spans="2:6">
      <c r="B19"/>
      <c r="C19"/>
      <c r="D19"/>
    </row>
    <row r="20" spans="2:6">
      <c r="B20"/>
    </row>
    <row r="21" spans="2:6">
      <c r="B21"/>
    </row>
    <row r="22" spans="2:6">
      <c r="B22"/>
    </row>
    <row r="23" spans="2:6">
      <c r="B23"/>
    </row>
    <row r="24" spans="2:6">
      <c r="B24"/>
    </row>
    <row r="25" spans="2:6">
      <c r="B25"/>
    </row>
    <row r="26" spans="2:6">
      <c r="B26"/>
    </row>
    <row r="27" spans="2:6">
      <c r="B27"/>
    </row>
    <row r="28" spans="2:6">
      <c r="B28"/>
    </row>
    <row r="29" spans="2:6">
      <c r="B29"/>
    </row>
    <row r="30" spans="2:6">
      <c r="B30"/>
    </row>
    <row r="31" spans="2:6">
      <c r="B31"/>
    </row>
    <row r="32" spans="2:6">
      <c r="B32"/>
    </row>
    <row r="33" spans="2:2">
      <c r="B33"/>
    </row>
    <row r="34" spans="2:2">
      <c r="B34"/>
    </row>
    <row r="35" spans="2:2">
      <c r="B35"/>
    </row>
    <row r="36" spans="2:2">
      <c r="B36"/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 filterMode="1"/>
  <dimension ref="A1:H10"/>
  <sheetViews>
    <sheetView workbookViewId="0">
      <selection activeCell="L31" sqref="L31"/>
    </sheetView>
  </sheetViews>
  <sheetFormatPr defaultColWidth="13.21875" defaultRowHeight="16.5"/>
  <cols>
    <col min="1" max="1" width="5.21875" style="1" bestFit="1" customWidth="1"/>
    <col min="2" max="2" width="9.88671875" style="1" bestFit="1" customWidth="1"/>
    <col min="3" max="3" width="4.88671875" style="1" bestFit="1" customWidth="1"/>
    <col min="4" max="4" width="11.44140625" style="1" bestFit="1" customWidth="1"/>
    <col min="5" max="6" width="6.5546875" style="1" bestFit="1" customWidth="1"/>
    <col min="7" max="7" width="8.21875" style="1" bestFit="1" customWidth="1"/>
    <col min="8" max="8" width="10.6640625" style="1" bestFit="1" customWidth="1"/>
    <col min="9" max="16384" width="13.21875" style="1"/>
  </cols>
  <sheetData>
    <row r="1" spans="1:8">
      <c r="A1" s="1" t="s">
        <v>12</v>
      </c>
      <c r="B1" s="26" t="s">
        <v>35</v>
      </c>
      <c r="C1" s="26"/>
      <c r="D1" s="26"/>
      <c r="E1" s="26"/>
      <c r="F1" s="26"/>
      <c r="G1" s="26"/>
      <c r="H1" s="26"/>
    </row>
    <row r="3" spans="1:8">
      <c r="B3" s="6" t="s">
        <v>19</v>
      </c>
      <c r="C3" s="6" t="s">
        <v>36</v>
      </c>
      <c r="D3" s="6" t="s">
        <v>37</v>
      </c>
      <c r="E3" s="6" t="s">
        <v>38</v>
      </c>
      <c r="F3" s="6" t="s">
        <v>39</v>
      </c>
      <c r="G3" s="6" t="s">
        <v>40</v>
      </c>
      <c r="H3" s="6" t="s">
        <v>41</v>
      </c>
    </row>
    <row r="4" spans="1:8" hidden="1">
      <c r="B4" s="14" t="s">
        <v>20</v>
      </c>
      <c r="C4" s="6" t="s">
        <v>34</v>
      </c>
      <c r="D4" s="11">
        <v>42955</v>
      </c>
      <c r="E4" s="6">
        <v>25</v>
      </c>
      <c r="F4" s="6">
        <v>5</v>
      </c>
      <c r="G4" s="6">
        <v>4</v>
      </c>
      <c r="H4" s="12">
        <f>(E4+F4)*20000</f>
        <v>600000</v>
      </c>
    </row>
    <row r="5" spans="1:8">
      <c r="B5" s="14" t="s">
        <v>116</v>
      </c>
      <c r="C5" s="6" t="s">
        <v>33</v>
      </c>
      <c r="D5" s="11">
        <v>43667</v>
      </c>
      <c r="E5" s="6">
        <v>15</v>
      </c>
      <c r="F5" s="6">
        <v>20</v>
      </c>
      <c r="G5" s="6">
        <v>2</v>
      </c>
      <c r="H5" s="12">
        <f>(E5+F5)*20000</f>
        <v>700000</v>
      </c>
    </row>
    <row r="6" spans="1:8" hidden="1">
      <c r="B6" s="14" t="s">
        <v>118</v>
      </c>
      <c r="C6" s="6" t="s">
        <v>34</v>
      </c>
      <c r="D6" s="11">
        <v>43709</v>
      </c>
      <c r="E6" s="6">
        <v>22</v>
      </c>
      <c r="F6" s="6">
        <v>25</v>
      </c>
      <c r="G6" s="6">
        <v>2</v>
      </c>
      <c r="H6" s="12">
        <f>(E6+F6)*20000</f>
        <v>940000</v>
      </c>
    </row>
    <row r="7" spans="1:8" hidden="1">
      <c r="B7" s="14" t="s">
        <v>119</v>
      </c>
      <c r="C7" s="6" t="s">
        <v>33</v>
      </c>
      <c r="D7" s="11">
        <v>44076</v>
      </c>
      <c r="E7" s="6">
        <v>18</v>
      </c>
      <c r="F7" s="6">
        <v>5</v>
      </c>
      <c r="G7" s="6">
        <v>1</v>
      </c>
      <c r="H7" s="12">
        <f>(E7+F7)*20000</f>
        <v>460000</v>
      </c>
    </row>
    <row r="8" spans="1:8">
      <c r="B8" s="14" t="s">
        <v>120</v>
      </c>
      <c r="C8" s="6" t="s">
        <v>34</v>
      </c>
      <c r="D8" s="11">
        <v>43892</v>
      </c>
      <c r="E8" s="6">
        <v>15</v>
      </c>
      <c r="F8" s="6">
        <v>18</v>
      </c>
      <c r="G8" s="6">
        <v>1</v>
      </c>
      <c r="H8" s="12">
        <f>(E8+F8)*20000</f>
        <v>660000</v>
      </c>
    </row>
    <row r="9" spans="1:8">
      <c r="B9"/>
      <c r="C9"/>
      <c r="D9"/>
      <c r="E9"/>
      <c r="F9"/>
      <c r="G9"/>
      <c r="H9"/>
    </row>
    <row r="10" spans="1:8">
      <c r="G10" s="14" t="s">
        <v>145</v>
      </c>
      <c r="H10" s="23">
        <f>SUM(H4:H9)</f>
        <v>3360000</v>
      </c>
    </row>
  </sheetData>
  <autoFilter ref="B3:H8" xr:uid="{00000000-0009-0000-0000-000004000000}">
    <filterColumn colId="3">
      <colorFilter dxfId="1"/>
    </filterColumn>
  </autoFilter>
  <mergeCells count="1">
    <mergeCell ref="B1:H1"/>
  </mergeCells>
  <phoneticPr fontId="2" type="noConversion"/>
  <conditionalFormatting sqref="E4:E8">
    <cfRule type="duplicateValues" dxfId="0" priority="1"/>
  </conditionalFormatting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H8"/>
  <sheetViews>
    <sheetView workbookViewId="0">
      <selection activeCell="M28" sqref="M28"/>
    </sheetView>
  </sheetViews>
  <sheetFormatPr defaultColWidth="8.77734375" defaultRowHeight="16.5"/>
  <cols>
    <col min="1" max="1" width="6.21875" style="1" customWidth="1"/>
    <col min="2" max="2" width="8.5546875" style="1" bestFit="1" customWidth="1"/>
    <col min="3" max="3" width="7.44140625" style="1" bestFit="1" customWidth="1"/>
    <col min="4" max="4" width="11.6640625" style="1" bestFit="1" customWidth="1"/>
    <col min="5" max="5" width="6.5546875" style="1" bestFit="1" customWidth="1"/>
    <col min="6" max="6" width="8.6640625" style="1" bestFit="1" customWidth="1"/>
    <col min="7" max="7" width="6.5546875" style="1" bestFit="1" customWidth="1"/>
    <col min="8" max="8" width="9.44140625" style="1" bestFit="1" customWidth="1"/>
    <col min="9" max="9" width="11.44140625" style="1" customWidth="1"/>
    <col min="10" max="16384" width="8.77734375" style="1"/>
  </cols>
  <sheetData>
    <row r="1" spans="2:8">
      <c r="F1" s="3" t="s">
        <v>42</v>
      </c>
    </row>
    <row r="2" spans="2:8">
      <c r="B2" s="6" t="s">
        <v>43</v>
      </c>
      <c r="C2" s="6" t="s">
        <v>44</v>
      </c>
      <c r="D2" s="6" t="s">
        <v>45</v>
      </c>
      <c r="E2" s="6" t="s">
        <v>46</v>
      </c>
      <c r="F2" s="6" t="s">
        <v>47</v>
      </c>
      <c r="G2" s="6" t="s">
        <v>48</v>
      </c>
      <c r="H2" s="6" t="s">
        <v>49</v>
      </c>
    </row>
    <row r="3" spans="2:8">
      <c r="B3" s="6" t="s">
        <v>122</v>
      </c>
      <c r="C3" s="7">
        <v>25000</v>
      </c>
      <c r="D3" s="7">
        <v>500</v>
      </c>
      <c r="E3" s="8">
        <v>800</v>
      </c>
      <c r="F3" s="8">
        <v>880</v>
      </c>
      <c r="G3" s="9">
        <f t="shared" ref="G3:G8" si="0">F3/E3</f>
        <v>1.1000000000000001</v>
      </c>
      <c r="H3" s="10">
        <f t="shared" ref="H3:H8" si="1">C3*F3</f>
        <v>22000000</v>
      </c>
    </row>
    <row r="4" spans="2:8">
      <c r="B4" s="6" t="s">
        <v>123</v>
      </c>
      <c r="C4" s="7">
        <v>18000</v>
      </c>
      <c r="D4" s="7">
        <v>450</v>
      </c>
      <c r="E4" s="8">
        <v>600</v>
      </c>
      <c r="F4" s="8">
        <v>560</v>
      </c>
      <c r="G4" s="9">
        <f t="shared" si="0"/>
        <v>0.93333333333333335</v>
      </c>
      <c r="H4" s="10">
        <f t="shared" si="1"/>
        <v>10080000</v>
      </c>
    </row>
    <row r="5" spans="2:8">
      <c r="B5" s="6" t="s">
        <v>124</v>
      </c>
      <c r="C5" s="7">
        <v>30000</v>
      </c>
      <c r="D5" s="7">
        <v>500</v>
      </c>
      <c r="E5" s="8">
        <v>550</v>
      </c>
      <c r="F5" s="8">
        <v>620</v>
      </c>
      <c r="G5" s="9">
        <f t="shared" si="0"/>
        <v>1.1272727272727272</v>
      </c>
      <c r="H5" s="10">
        <f t="shared" si="1"/>
        <v>18600000</v>
      </c>
    </row>
    <row r="6" spans="2:8">
      <c r="B6" s="6" t="s">
        <v>125</v>
      </c>
      <c r="C6" s="7">
        <v>15000</v>
      </c>
      <c r="D6" s="7">
        <v>400</v>
      </c>
      <c r="E6" s="8">
        <v>500</v>
      </c>
      <c r="F6" s="8">
        <v>540</v>
      </c>
      <c r="G6" s="9">
        <f t="shared" si="0"/>
        <v>1.08</v>
      </c>
      <c r="H6" s="10">
        <f t="shared" si="1"/>
        <v>8100000</v>
      </c>
    </row>
    <row r="7" spans="2:8">
      <c r="B7" s="6" t="s">
        <v>126</v>
      </c>
      <c r="C7" s="7">
        <v>10000</v>
      </c>
      <c r="D7" s="7">
        <v>250</v>
      </c>
      <c r="E7" s="8">
        <v>300</v>
      </c>
      <c r="F7" s="8">
        <v>300</v>
      </c>
      <c r="G7" s="9">
        <f t="shared" si="0"/>
        <v>1</v>
      </c>
      <c r="H7" s="10">
        <f t="shared" si="1"/>
        <v>3000000</v>
      </c>
    </row>
    <row r="8" spans="2:8">
      <c r="B8" s="6" t="s">
        <v>127</v>
      </c>
      <c r="C8" s="7">
        <v>40000</v>
      </c>
      <c r="D8" s="7">
        <v>400</v>
      </c>
      <c r="E8" s="8">
        <v>450</v>
      </c>
      <c r="F8" s="8">
        <v>540</v>
      </c>
      <c r="G8" s="9">
        <f t="shared" si="0"/>
        <v>1.2</v>
      </c>
      <c r="H8" s="10">
        <f t="shared" si="1"/>
        <v>21600000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48"/>
  <sheetViews>
    <sheetView workbookViewId="0">
      <selection activeCell="J31" sqref="J31"/>
    </sheetView>
  </sheetViews>
  <sheetFormatPr defaultRowHeight="13.5"/>
  <cols>
    <col min="1" max="1" width="8.88671875" bestFit="1" customWidth="1"/>
    <col min="3" max="3" width="10.88671875" bestFit="1" customWidth="1"/>
    <col min="5" max="5" width="10.44140625" bestFit="1" customWidth="1"/>
    <col min="7" max="7" width="10.88671875" bestFit="1" customWidth="1"/>
    <col min="8" max="8" width="8.88671875" bestFit="1" customWidth="1"/>
  </cols>
  <sheetData>
    <row r="1" spans="1:8" ht="16.5">
      <c r="A1" s="16"/>
      <c r="B1" s="16"/>
      <c r="C1" s="16"/>
      <c r="D1" s="16"/>
      <c r="E1" s="16"/>
      <c r="F1" s="16"/>
      <c r="G1" s="16"/>
      <c r="H1" s="16"/>
    </row>
    <row r="2" spans="1:8" ht="16.5">
      <c r="A2" s="20" t="s">
        <v>56</v>
      </c>
      <c r="B2" s="20" t="s">
        <v>0</v>
      </c>
      <c r="C2" s="20" t="s">
        <v>57</v>
      </c>
      <c r="D2" s="20" t="s">
        <v>58</v>
      </c>
      <c r="E2" s="20" t="s">
        <v>59</v>
      </c>
      <c r="F2" s="20" t="s">
        <v>60</v>
      </c>
      <c r="G2" s="20" t="s">
        <v>61</v>
      </c>
      <c r="H2" s="20" t="s">
        <v>110</v>
      </c>
    </row>
    <row r="3" spans="1:8" ht="16.5">
      <c r="A3" s="6">
        <v>202305</v>
      </c>
      <c r="B3" s="19" t="s">
        <v>62</v>
      </c>
      <c r="C3" s="11">
        <v>33510</v>
      </c>
      <c r="D3" s="6" t="s">
        <v>63</v>
      </c>
      <c r="E3" s="6" t="s">
        <v>55</v>
      </c>
      <c r="F3" s="6" t="s">
        <v>64</v>
      </c>
      <c r="G3" s="11">
        <v>42918</v>
      </c>
      <c r="H3" s="25">
        <v>73.25</v>
      </c>
    </row>
    <row r="4" spans="1:8" ht="16.5">
      <c r="A4" s="6">
        <v>202204</v>
      </c>
      <c r="B4" s="6" t="s">
        <v>8</v>
      </c>
      <c r="C4" s="11">
        <v>33544</v>
      </c>
      <c r="D4" s="6" t="s">
        <v>65</v>
      </c>
      <c r="E4" s="6" t="s">
        <v>66</v>
      </c>
      <c r="F4" s="6" t="s">
        <v>64</v>
      </c>
      <c r="G4" s="11">
        <v>42431</v>
      </c>
      <c r="H4" s="25">
        <v>74.5</v>
      </c>
    </row>
    <row r="5" spans="1:8" ht="16.5">
      <c r="A5" s="6">
        <v>201110</v>
      </c>
      <c r="B5" s="6" t="s">
        <v>10</v>
      </c>
      <c r="C5" s="11">
        <v>32297</v>
      </c>
      <c r="D5" s="6" t="s">
        <v>67</v>
      </c>
      <c r="E5" s="6" t="s">
        <v>68</v>
      </c>
      <c r="F5" s="6" t="s">
        <v>69</v>
      </c>
      <c r="G5" s="11">
        <v>41549</v>
      </c>
      <c r="H5" s="25">
        <v>82.5</v>
      </c>
    </row>
    <row r="6" spans="1:8" ht="16.5">
      <c r="A6" s="6">
        <v>202101</v>
      </c>
      <c r="B6" s="6" t="s">
        <v>7</v>
      </c>
      <c r="C6" s="11">
        <v>30438</v>
      </c>
      <c r="D6" s="6" t="s">
        <v>70</v>
      </c>
      <c r="E6" s="6" t="s">
        <v>71</v>
      </c>
      <c r="F6" s="6" t="s">
        <v>64</v>
      </c>
      <c r="G6" s="11">
        <v>42431</v>
      </c>
      <c r="H6" s="25">
        <v>74.5</v>
      </c>
    </row>
    <row r="7" spans="1:8" ht="16.5">
      <c r="A7" s="6">
        <v>201309</v>
      </c>
      <c r="B7" s="19" t="s">
        <v>72</v>
      </c>
      <c r="C7" s="11">
        <v>28561</v>
      </c>
      <c r="D7" s="6" t="s">
        <v>73</v>
      </c>
      <c r="E7" s="6" t="s">
        <v>74</v>
      </c>
      <c r="F7" s="6" t="s">
        <v>64</v>
      </c>
      <c r="G7" s="11">
        <v>43648</v>
      </c>
      <c r="H7" s="25">
        <v>90.5</v>
      </c>
    </row>
    <row r="8" spans="1:8" ht="16.5">
      <c r="A8" s="6">
        <v>202209</v>
      </c>
      <c r="B8" s="6" t="s">
        <v>75</v>
      </c>
      <c r="C8" s="11">
        <v>31718</v>
      </c>
      <c r="D8" s="6" t="s">
        <v>65</v>
      </c>
      <c r="E8" s="6" t="s">
        <v>66</v>
      </c>
      <c r="F8" s="6" t="s">
        <v>64</v>
      </c>
      <c r="G8" s="11">
        <v>43388</v>
      </c>
      <c r="H8" s="25">
        <v>85.5</v>
      </c>
    </row>
    <row r="9" spans="1:8" ht="16.5">
      <c r="A9" s="6">
        <v>201111</v>
      </c>
      <c r="B9" s="6" t="s">
        <v>76</v>
      </c>
      <c r="C9" s="11">
        <v>33649</v>
      </c>
      <c r="D9" s="6" t="s">
        <v>67</v>
      </c>
      <c r="E9" s="6" t="s">
        <v>68</v>
      </c>
      <c r="F9" s="6" t="s">
        <v>69</v>
      </c>
      <c r="G9" s="11">
        <v>41993</v>
      </c>
      <c r="H9" s="25">
        <v>69.5</v>
      </c>
    </row>
    <row r="10" spans="1:8" ht="16.5">
      <c r="A10" s="6">
        <v>201207</v>
      </c>
      <c r="B10" s="6" t="s">
        <v>1</v>
      </c>
      <c r="C10" s="11">
        <v>30104</v>
      </c>
      <c r="D10" s="6" t="s">
        <v>77</v>
      </c>
      <c r="E10" s="6" t="s">
        <v>78</v>
      </c>
      <c r="F10" s="6" t="s">
        <v>69</v>
      </c>
      <c r="G10" s="11">
        <v>41457</v>
      </c>
      <c r="H10" s="25">
        <v>86.25</v>
      </c>
    </row>
    <row r="11" spans="1:8" ht="16.5">
      <c r="A11" s="6">
        <v>202209</v>
      </c>
      <c r="B11" s="19" t="s">
        <v>79</v>
      </c>
      <c r="C11" s="11">
        <v>33991</v>
      </c>
      <c r="D11" s="6" t="s">
        <v>65</v>
      </c>
      <c r="E11" s="6" t="s">
        <v>66</v>
      </c>
      <c r="F11" s="6" t="s">
        <v>64</v>
      </c>
      <c r="G11" s="11">
        <v>43556</v>
      </c>
      <c r="H11" s="25">
        <v>81.25</v>
      </c>
    </row>
    <row r="12" spans="1:8" ht="16.5">
      <c r="A12" s="6">
        <v>201112</v>
      </c>
      <c r="B12" s="6" t="s">
        <v>5</v>
      </c>
      <c r="C12" s="11">
        <v>33608</v>
      </c>
      <c r="D12" s="6" t="s">
        <v>67</v>
      </c>
      <c r="E12" s="6" t="s">
        <v>68</v>
      </c>
      <c r="F12" s="6" t="s">
        <v>69</v>
      </c>
      <c r="G12" s="11">
        <v>42402</v>
      </c>
      <c r="H12" s="25">
        <v>81</v>
      </c>
    </row>
    <row r="13" spans="1:8" ht="16.5">
      <c r="A13" s="6">
        <v>201117</v>
      </c>
      <c r="B13" s="19" t="s">
        <v>80</v>
      </c>
      <c r="C13" s="11">
        <v>32662</v>
      </c>
      <c r="D13" s="6" t="s">
        <v>67</v>
      </c>
      <c r="E13" s="6" t="s">
        <v>68</v>
      </c>
      <c r="F13" s="6" t="s">
        <v>69</v>
      </c>
      <c r="G13" s="11">
        <v>41457</v>
      </c>
      <c r="H13" s="25">
        <v>90.5</v>
      </c>
    </row>
    <row r="14" spans="1:8" ht="16.5">
      <c r="A14" s="6">
        <v>201103</v>
      </c>
      <c r="B14" s="6" t="s">
        <v>81</v>
      </c>
      <c r="C14" s="11">
        <v>29336</v>
      </c>
      <c r="D14" s="6" t="s">
        <v>67</v>
      </c>
      <c r="E14" s="6" t="s">
        <v>68</v>
      </c>
      <c r="F14" s="6" t="s">
        <v>69</v>
      </c>
      <c r="G14" s="11">
        <v>41519</v>
      </c>
      <c r="H14" s="25">
        <v>86.5</v>
      </c>
    </row>
    <row r="15" spans="1:8" ht="16.5">
      <c r="A15" s="6">
        <v>202205</v>
      </c>
      <c r="B15" s="6" t="s">
        <v>11</v>
      </c>
      <c r="C15" s="11">
        <v>28561</v>
      </c>
      <c r="D15" s="6" t="s">
        <v>65</v>
      </c>
      <c r="E15" s="6" t="s">
        <v>66</v>
      </c>
      <c r="F15" s="6" t="s">
        <v>64</v>
      </c>
      <c r="G15" s="11">
        <v>43235</v>
      </c>
      <c r="H15" s="25">
        <v>81.25</v>
      </c>
    </row>
    <row r="16" spans="1:8" ht="16.5">
      <c r="A16" s="6">
        <v>201109</v>
      </c>
      <c r="B16" s="6" t="s">
        <v>6</v>
      </c>
      <c r="C16" s="11">
        <v>29953</v>
      </c>
      <c r="D16" s="6" t="s">
        <v>67</v>
      </c>
      <c r="E16" s="6" t="s">
        <v>68</v>
      </c>
      <c r="F16" s="6" t="s">
        <v>64</v>
      </c>
      <c r="G16" s="11">
        <v>43345</v>
      </c>
      <c r="H16" s="25">
        <v>77</v>
      </c>
    </row>
    <row r="17" spans="1:8" ht="16.5">
      <c r="A17" s="6">
        <v>201211</v>
      </c>
      <c r="B17" s="19" t="s">
        <v>82</v>
      </c>
      <c r="C17" s="11">
        <v>31718</v>
      </c>
      <c r="D17" s="6" t="s">
        <v>77</v>
      </c>
      <c r="E17" s="6" t="s">
        <v>78</v>
      </c>
      <c r="F17" s="6" t="s">
        <v>69</v>
      </c>
      <c r="G17" s="11">
        <v>41519</v>
      </c>
      <c r="H17" s="25">
        <v>78.5</v>
      </c>
    </row>
    <row r="18" spans="1:8" ht="16.5">
      <c r="A18" s="6">
        <v>201135</v>
      </c>
      <c r="B18" s="19" t="s">
        <v>83</v>
      </c>
      <c r="C18" s="11">
        <v>31015</v>
      </c>
      <c r="D18" s="6" t="s">
        <v>67</v>
      </c>
      <c r="E18" s="6" t="s">
        <v>68</v>
      </c>
      <c r="F18" s="6" t="s">
        <v>69</v>
      </c>
      <c r="G18" s="11">
        <v>42553</v>
      </c>
      <c r="H18" s="25">
        <v>69.5</v>
      </c>
    </row>
    <row r="19" spans="1:8" ht="16.5">
      <c r="A19" s="6">
        <v>201119</v>
      </c>
      <c r="B19" s="19" t="s">
        <v>84</v>
      </c>
      <c r="C19" s="11">
        <v>33180</v>
      </c>
      <c r="D19" s="6" t="s">
        <v>67</v>
      </c>
      <c r="E19" s="6" t="s">
        <v>68</v>
      </c>
      <c r="F19" s="6" t="s">
        <v>69</v>
      </c>
      <c r="G19" s="11">
        <v>41866</v>
      </c>
      <c r="H19" s="25">
        <v>79.75</v>
      </c>
    </row>
    <row r="20" spans="1:8" ht="16.5">
      <c r="A20" s="6">
        <v>201105</v>
      </c>
      <c r="B20" s="6" t="s">
        <v>2</v>
      </c>
      <c r="C20" s="11">
        <v>30529</v>
      </c>
      <c r="D20" s="6" t="s">
        <v>67</v>
      </c>
      <c r="E20" s="6" t="s">
        <v>68</v>
      </c>
      <c r="F20" s="6" t="s">
        <v>69</v>
      </c>
      <c r="G20" s="11">
        <v>41884</v>
      </c>
      <c r="H20" s="25">
        <v>84</v>
      </c>
    </row>
    <row r="21" spans="1:8" ht="16.5">
      <c r="A21" s="6">
        <v>201121</v>
      </c>
      <c r="B21" s="19" t="s">
        <v>85</v>
      </c>
      <c r="C21" s="11">
        <v>33675</v>
      </c>
      <c r="D21" s="6" t="s">
        <v>67</v>
      </c>
      <c r="E21" s="6" t="s">
        <v>68</v>
      </c>
      <c r="F21" s="6" t="s">
        <v>64</v>
      </c>
      <c r="G21" s="11">
        <v>43556</v>
      </c>
      <c r="H21" s="25">
        <v>77.25</v>
      </c>
    </row>
    <row r="22" spans="1:8" ht="16.5">
      <c r="A22" s="6">
        <v>202103</v>
      </c>
      <c r="B22" s="6" t="s">
        <v>86</v>
      </c>
      <c r="C22" s="11">
        <v>32389</v>
      </c>
      <c r="D22" s="6" t="s">
        <v>70</v>
      </c>
      <c r="E22" s="6" t="s">
        <v>71</v>
      </c>
      <c r="F22" s="6" t="s">
        <v>64</v>
      </c>
      <c r="G22" s="11">
        <v>42505</v>
      </c>
      <c r="H22" s="25">
        <v>66.5</v>
      </c>
    </row>
    <row r="23" spans="1:8" ht="16.5">
      <c r="A23" s="6">
        <v>201125</v>
      </c>
      <c r="B23" s="19" t="s">
        <v>87</v>
      </c>
      <c r="C23" s="11">
        <v>31260</v>
      </c>
      <c r="D23" s="6" t="s">
        <v>67</v>
      </c>
      <c r="E23" s="6" t="s">
        <v>68</v>
      </c>
      <c r="F23" s="6" t="s">
        <v>69</v>
      </c>
      <c r="G23" s="11">
        <v>41673</v>
      </c>
      <c r="H23" s="25">
        <v>88</v>
      </c>
    </row>
    <row r="24" spans="1:8" ht="16.5">
      <c r="A24" s="6">
        <v>201311</v>
      </c>
      <c r="B24" s="19" t="s">
        <v>88</v>
      </c>
      <c r="C24" s="11">
        <v>32401</v>
      </c>
      <c r="D24" s="6" t="s">
        <v>73</v>
      </c>
      <c r="E24" s="6" t="s">
        <v>74</v>
      </c>
      <c r="F24" s="6" t="s">
        <v>64</v>
      </c>
      <c r="G24" s="11">
        <v>43388</v>
      </c>
      <c r="H24" s="25">
        <v>91.75</v>
      </c>
    </row>
    <row r="25" spans="1:8" ht="16.5">
      <c r="A25" s="6">
        <v>201108</v>
      </c>
      <c r="B25" s="6" t="s">
        <v>89</v>
      </c>
      <c r="C25" s="11">
        <v>31260</v>
      </c>
      <c r="D25" s="6" t="s">
        <v>67</v>
      </c>
      <c r="E25" s="6" t="s">
        <v>68</v>
      </c>
      <c r="F25" s="6" t="s">
        <v>69</v>
      </c>
      <c r="G25" s="11">
        <v>41404</v>
      </c>
      <c r="H25" s="25">
        <v>88.25</v>
      </c>
    </row>
    <row r="26" spans="1:8" ht="16.5">
      <c r="A26" s="6">
        <v>202315</v>
      </c>
      <c r="B26" s="19" t="s">
        <v>90</v>
      </c>
      <c r="C26" s="11">
        <v>30683</v>
      </c>
      <c r="D26" s="6" t="s">
        <v>63</v>
      </c>
      <c r="E26" s="6" t="s">
        <v>55</v>
      </c>
      <c r="F26" s="6" t="s">
        <v>64</v>
      </c>
      <c r="G26" s="11">
        <v>43023</v>
      </c>
      <c r="H26" s="25">
        <v>82.5</v>
      </c>
    </row>
    <row r="27" spans="1:8" ht="16.5">
      <c r="A27" s="6">
        <v>201116</v>
      </c>
      <c r="B27" s="6" t="s">
        <v>91</v>
      </c>
      <c r="C27" s="11">
        <v>29029</v>
      </c>
      <c r="D27" s="6" t="s">
        <v>67</v>
      </c>
      <c r="E27" s="6" t="s">
        <v>68</v>
      </c>
      <c r="F27" s="6" t="s">
        <v>69</v>
      </c>
      <c r="G27" s="11">
        <v>41884</v>
      </c>
      <c r="H27" s="25">
        <v>68</v>
      </c>
    </row>
    <row r="28" spans="1:8" ht="16.5">
      <c r="A28" s="6">
        <v>202210</v>
      </c>
      <c r="B28" s="19" t="s">
        <v>92</v>
      </c>
      <c r="C28" s="11">
        <v>31802</v>
      </c>
      <c r="D28" s="6" t="s">
        <v>65</v>
      </c>
      <c r="E28" s="6" t="s">
        <v>66</v>
      </c>
      <c r="F28" s="6" t="s">
        <v>69</v>
      </c>
      <c r="G28" s="11">
        <v>41519</v>
      </c>
      <c r="H28" s="25">
        <v>93.5</v>
      </c>
    </row>
    <row r="29" spans="1:8" ht="16.5">
      <c r="A29" s="6">
        <v>201202</v>
      </c>
      <c r="B29" s="6" t="s">
        <v>93</v>
      </c>
      <c r="C29" s="11">
        <v>29407</v>
      </c>
      <c r="D29" s="6" t="s">
        <v>77</v>
      </c>
      <c r="E29" s="6" t="s">
        <v>78</v>
      </c>
      <c r="F29" s="6" t="s">
        <v>69</v>
      </c>
      <c r="G29" s="11">
        <v>41519</v>
      </c>
      <c r="H29" s="25">
        <v>90.5</v>
      </c>
    </row>
    <row r="30" spans="1:8" ht="16.5">
      <c r="A30" s="6">
        <v>202301</v>
      </c>
      <c r="B30" s="6" t="s">
        <v>4</v>
      </c>
      <c r="C30" s="11">
        <v>32401</v>
      </c>
      <c r="D30" s="6" t="s">
        <v>63</v>
      </c>
      <c r="E30" s="6" t="s">
        <v>55</v>
      </c>
      <c r="F30" s="6" t="s">
        <v>69</v>
      </c>
      <c r="G30" s="11">
        <v>41519</v>
      </c>
      <c r="H30" s="25">
        <v>76</v>
      </c>
    </row>
    <row r="31" spans="1:8" ht="16.5">
      <c r="A31" s="6">
        <v>202207</v>
      </c>
      <c r="B31" s="6" t="s">
        <v>94</v>
      </c>
      <c r="C31" s="11">
        <v>31718</v>
      </c>
      <c r="D31" s="6" t="s">
        <v>65</v>
      </c>
      <c r="E31" s="6" t="s">
        <v>66</v>
      </c>
      <c r="F31" s="6" t="s">
        <v>64</v>
      </c>
      <c r="G31" s="11">
        <v>43526</v>
      </c>
      <c r="H31" s="25">
        <v>93.25</v>
      </c>
    </row>
    <row r="32" spans="1:8" ht="16.5">
      <c r="A32" s="6">
        <v>201204</v>
      </c>
      <c r="B32" s="6" t="s">
        <v>95</v>
      </c>
      <c r="C32" s="11">
        <v>30506</v>
      </c>
      <c r="D32" s="6" t="s">
        <v>77</v>
      </c>
      <c r="E32" s="6" t="s">
        <v>78</v>
      </c>
      <c r="F32" s="6" t="s">
        <v>64</v>
      </c>
      <c r="G32" s="11">
        <v>42431</v>
      </c>
      <c r="H32" s="25">
        <v>76.75</v>
      </c>
    </row>
    <row r="33" spans="1:8" ht="16.5">
      <c r="A33" s="6">
        <v>201304</v>
      </c>
      <c r="B33" s="6" t="s">
        <v>96</v>
      </c>
      <c r="C33" s="11">
        <v>28649</v>
      </c>
      <c r="D33" s="6" t="s">
        <v>73</v>
      </c>
      <c r="E33" s="6" t="s">
        <v>74</v>
      </c>
      <c r="F33" s="6" t="s">
        <v>69</v>
      </c>
      <c r="G33" s="11">
        <v>42037</v>
      </c>
      <c r="H33" s="25">
        <v>82.5</v>
      </c>
    </row>
    <row r="34" spans="1:8" ht="16.5">
      <c r="A34" s="6">
        <v>201115</v>
      </c>
      <c r="B34" s="6" t="s">
        <v>97</v>
      </c>
      <c r="C34" s="11">
        <v>31718</v>
      </c>
      <c r="D34" s="6" t="s">
        <v>67</v>
      </c>
      <c r="E34" s="6" t="s">
        <v>68</v>
      </c>
      <c r="F34" s="6" t="s">
        <v>69</v>
      </c>
      <c r="G34" s="11">
        <v>41519</v>
      </c>
      <c r="H34" s="25">
        <v>86</v>
      </c>
    </row>
    <row r="35" spans="1:8" ht="16.5">
      <c r="A35" s="6">
        <v>201113</v>
      </c>
      <c r="B35" s="6" t="s">
        <v>98</v>
      </c>
      <c r="C35" s="11">
        <v>30727</v>
      </c>
      <c r="D35" s="6" t="s">
        <v>67</v>
      </c>
      <c r="E35" s="6" t="s">
        <v>68</v>
      </c>
      <c r="F35" s="6" t="s">
        <v>69</v>
      </c>
      <c r="G35" s="11">
        <v>42918</v>
      </c>
      <c r="H35" s="25">
        <v>75.25</v>
      </c>
    </row>
    <row r="36" spans="1:8" ht="16.5">
      <c r="A36" s="6">
        <v>201303</v>
      </c>
      <c r="B36" s="6" t="s">
        <v>3</v>
      </c>
      <c r="C36" s="11">
        <v>29527</v>
      </c>
      <c r="D36" s="6" t="s">
        <v>73</v>
      </c>
      <c r="E36" s="6" t="s">
        <v>74</v>
      </c>
      <c r="F36" s="6" t="s">
        <v>69</v>
      </c>
      <c r="G36" s="11">
        <v>41549</v>
      </c>
      <c r="H36" s="25">
        <v>81.5</v>
      </c>
    </row>
    <row r="37" spans="1:8" ht="16.5">
      <c r="A37" s="6">
        <v>202109</v>
      </c>
      <c r="B37" s="6" t="s">
        <v>99</v>
      </c>
      <c r="C37" s="11">
        <v>31015</v>
      </c>
      <c r="D37" s="6" t="s">
        <v>70</v>
      </c>
      <c r="E37" s="6" t="s">
        <v>71</v>
      </c>
      <c r="F37" s="6" t="s">
        <v>64</v>
      </c>
      <c r="G37" s="11">
        <v>42431</v>
      </c>
      <c r="H37" s="25">
        <v>73.75</v>
      </c>
    </row>
    <row r="38" spans="1:8" ht="16.5">
      <c r="A38" s="6">
        <v>201106</v>
      </c>
      <c r="B38" s="6" t="s">
        <v>100</v>
      </c>
      <c r="C38" s="11">
        <v>31031</v>
      </c>
      <c r="D38" s="6" t="s">
        <v>67</v>
      </c>
      <c r="E38" s="6" t="s">
        <v>68</v>
      </c>
      <c r="F38" s="6" t="s">
        <v>69</v>
      </c>
      <c r="G38" s="11">
        <v>40941</v>
      </c>
      <c r="H38" s="25">
        <v>92.25</v>
      </c>
    </row>
    <row r="39" spans="1:8" ht="16.5">
      <c r="A39" s="6">
        <v>202303</v>
      </c>
      <c r="B39" s="6" t="s">
        <v>101</v>
      </c>
      <c r="C39" s="11">
        <v>30683</v>
      </c>
      <c r="D39" s="6" t="s">
        <v>63</v>
      </c>
      <c r="E39" s="6" t="s">
        <v>55</v>
      </c>
      <c r="F39" s="6" t="s">
        <v>69</v>
      </c>
      <c r="G39" s="11">
        <v>42065</v>
      </c>
      <c r="H39" s="25">
        <v>76.5</v>
      </c>
    </row>
    <row r="40" spans="1:8" ht="16.5">
      <c r="A40" s="6">
        <v>201209</v>
      </c>
      <c r="B40" s="19" t="s">
        <v>102</v>
      </c>
      <c r="C40" s="11">
        <v>30703</v>
      </c>
      <c r="D40" s="6" t="s">
        <v>77</v>
      </c>
      <c r="E40" s="6" t="s">
        <v>78</v>
      </c>
      <c r="F40" s="6" t="s">
        <v>69</v>
      </c>
      <c r="G40" s="11">
        <v>42402</v>
      </c>
      <c r="H40" s="25">
        <v>81.5</v>
      </c>
    </row>
    <row r="41" spans="1:8" ht="16.5">
      <c r="A41" s="6">
        <v>202309</v>
      </c>
      <c r="B41" s="19" t="s">
        <v>103</v>
      </c>
      <c r="C41" s="11">
        <v>31675</v>
      </c>
      <c r="D41" s="6" t="s">
        <v>63</v>
      </c>
      <c r="E41" s="6" t="s">
        <v>55</v>
      </c>
      <c r="F41" s="6" t="s">
        <v>64</v>
      </c>
      <c r="G41" s="11">
        <v>42796</v>
      </c>
      <c r="H41" s="25">
        <v>76.75</v>
      </c>
    </row>
    <row r="42" spans="1:8" ht="16.5">
      <c r="A42" s="6">
        <v>201101</v>
      </c>
      <c r="B42" s="6" t="s">
        <v>9</v>
      </c>
      <c r="C42" s="11">
        <v>29009</v>
      </c>
      <c r="D42" s="6" t="s">
        <v>67</v>
      </c>
      <c r="E42" s="6" t="s">
        <v>68</v>
      </c>
      <c r="F42" s="6" t="s">
        <v>64</v>
      </c>
      <c r="G42" s="11">
        <v>42431</v>
      </c>
      <c r="H42" s="25">
        <v>86</v>
      </c>
    </row>
    <row r="43" spans="1:8" ht="16.5">
      <c r="A43" s="6">
        <v>201123</v>
      </c>
      <c r="B43" s="19" t="s">
        <v>104</v>
      </c>
      <c r="C43" s="11">
        <v>29133</v>
      </c>
      <c r="D43" s="6" t="s">
        <v>67</v>
      </c>
      <c r="E43" s="6" t="s">
        <v>68</v>
      </c>
      <c r="F43" s="6" t="s">
        <v>69</v>
      </c>
      <c r="G43" s="11">
        <v>41774</v>
      </c>
      <c r="H43" s="25">
        <v>65.25</v>
      </c>
    </row>
    <row r="44" spans="1:8" ht="16.5">
      <c r="A44" s="6">
        <v>201132</v>
      </c>
      <c r="B44" s="19" t="s">
        <v>105</v>
      </c>
      <c r="C44" s="11">
        <v>32297</v>
      </c>
      <c r="D44" s="6" t="s">
        <v>67</v>
      </c>
      <c r="E44" s="6" t="s">
        <v>68</v>
      </c>
      <c r="F44" s="6" t="s">
        <v>69</v>
      </c>
      <c r="G44" s="11">
        <v>41519</v>
      </c>
      <c r="H44" s="25">
        <v>75</v>
      </c>
    </row>
    <row r="45" spans="1:8" ht="16.5">
      <c r="A45" s="6">
        <v>201122</v>
      </c>
      <c r="B45" s="19" t="s">
        <v>106</v>
      </c>
      <c r="C45" s="11">
        <v>31977</v>
      </c>
      <c r="D45" s="6" t="s">
        <v>67</v>
      </c>
      <c r="E45" s="6" t="s">
        <v>68</v>
      </c>
      <c r="F45" s="6" t="s">
        <v>64</v>
      </c>
      <c r="G45" s="11">
        <v>43283</v>
      </c>
      <c r="H45" s="25">
        <v>83</v>
      </c>
    </row>
    <row r="46" spans="1:8" ht="16.5">
      <c r="A46" s="6">
        <v>202112</v>
      </c>
      <c r="B46" s="19" t="s">
        <v>107</v>
      </c>
      <c r="C46" s="11">
        <v>29953</v>
      </c>
      <c r="D46" s="6" t="s">
        <v>70</v>
      </c>
      <c r="E46" s="6" t="s">
        <v>71</v>
      </c>
      <c r="F46" s="6" t="s">
        <v>64</v>
      </c>
      <c r="G46" s="11">
        <v>43283</v>
      </c>
      <c r="H46" s="25">
        <v>86</v>
      </c>
    </row>
    <row r="47" spans="1:8" ht="16.5">
      <c r="A47" s="6">
        <v>201130</v>
      </c>
      <c r="B47" s="19" t="s">
        <v>108</v>
      </c>
      <c r="C47" s="11">
        <v>31718</v>
      </c>
      <c r="D47" s="6" t="s">
        <v>67</v>
      </c>
      <c r="E47" s="6" t="s">
        <v>68</v>
      </c>
      <c r="F47" s="6" t="s">
        <v>64</v>
      </c>
      <c r="G47" s="11">
        <v>42402</v>
      </c>
      <c r="H47" s="25">
        <v>85.5</v>
      </c>
    </row>
    <row r="48" spans="1:8" ht="16.5">
      <c r="A48" s="6">
        <v>202304</v>
      </c>
      <c r="B48" s="19" t="s">
        <v>109</v>
      </c>
      <c r="C48" s="11">
        <v>33079</v>
      </c>
      <c r="D48" s="6" t="s">
        <v>63</v>
      </c>
      <c r="E48" s="6" t="s">
        <v>55</v>
      </c>
      <c r="F48" s="6" t="s">
        <v>64</v>
      </c>
      <c r="G48" s="11">
        <v>42796</v>
      </c>
      <c r="H48" s="25">
        <v>80.5</v>
      </c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서식적용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서식해제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H15"/>
  <sheetViews>
    <sheetView tabSelected="1" workbookViewId="0">
      <selection activeCell="I15" sqref="I15"/>
    </sheetView>
  </sheetViews>
  <sheetFormatPr defaultColWidth="8.77734375" defaultRowHeight="16.5"/>
  <cols>
    <col min="1" max="1" width="8.77734375" style="1"/>
    <col min="2" max="2" width="12.77734375" style="1" customWidth="1"/>
    <col min="3" max="3" width="12.44140625" style="1" bestFit="1" customWidth="1"/>
    <col min="4" max="5" width="12.44140625" style="1" customWidth="1"/>
    <col min="6" max="6" width="6.44140625" style="1" customWidth="1"/>
    <col min="7" max="7" width="10.44140625" style="1" bestFit="1" customWidth="1"/>
    <col min="8" max="16384" width="8.77734375" style="1"/>
  </cols>
  <sheetData>
    <row r="1" spans="1:8" ht="18" customHeight="1">
      <c r="A1" s="27" t="s">
        <v>50</v>
      </c>
      <c r="B1" s="27"/>
      <c r="C1" s="27"/>
      <c r="D1" s="27"/>
      <c r="E1" s="27"/>
    </row>
    <row r="4" spans="1:8">
      <c r="A4" s="2" t="s">
        <v>51</v>
      </c>
      <c r="B4" s="2" t="s">
        <v>52</v>
      </c>
      <c r="C4" s="2" t="s">
        <v>128</v>
      </c>
      <c r="D4" s="2" t="s">
        <v>129</v>
      </c>
      <c r="E4" s="2" t="s">
        <v>53</v>
      </c>
      <c r="G4" s="4" t="s">
        <v>54</v>
      </c>
      <c r="H4" s="4"/>
    </row>
    <row r="5" spans="1:8">
      <c r="A5" s="5" t="s">
        <v>68</v>
      </c>
      <c r="B5" s="5" t="s">
        <v>146</v>
      </c>
      <c r="C5" s="5" t="s">
        <v>147</v>
      </c>
      <c r="D5" s="5" t="s">
        <v>148</v>
      </c>
      <c r="E5" s="5">
        <v>85</v>
      </c>
      <c r="G5" s="14" t="s">
        <v>20</v>
      </c>
    </row>
    <row r="6" spans="1:8">
      <c r="A6" s="5"/>
      <c r="B6" s="5"/>
      <c r="C6" s="5"/>
      <c r="D6" s="5"/>
      <c r="E6" s="5"/>
      <c r="G6" s="14" t="s">
        <v>116</v>
      </c>
    </row>
    <row r="7" spans="1:8">
      <c r="A7" s="5"/>
      <c r="B7" s="5"/>
      <c r="C7" s="5"/>
      <c r="D7" s="5"/>
      <c r="E7" s="5"/>
      <c r="G7" s="14" t="s">
        <v>117</v>
      </c>
    </row>
    <row r="8" spans="1:8">
      <c r="A8" s="5"/>
      <c r="B8" s="5"/>
      <c r="C8" s="5"/>
      <c r="D8" s="5"/>
      <c r="E8" s="5"/>
      <c r="G8" s="14" t="s">
        <v>118</v>
      </c>
    </row>
    <row r="9" spans="1:8">
      <c r="A9" s="5"/>
      <c r="B9" s="5"/>
      <c r="C9" s="5"/>
      <c r="D9" s="5"/>
      <c r="E9" s="5"/>
      <c r="G9" s="14" t="s">
        <v>119</v>
      </c>
    </row>
    <row r="10" spans="1:8">
      <c r="A10" s="5"/>
      <c r="B10" s="5"/>
      <c r="C10" s="5"/>
      <c r="D10" s="5"/>
      <c r="E10" s="5"/>
      <c r="G10" s="14" t="s">
        <v>120</v>
      </c>
    </row>
    <row r="11" spans="1:8">
      <c r="A11" s="5"/>
      <c r="B11" s="5"/>
      <c r="C11" s="5"/>
      <c r="D11" s="5"/>
      <c r="E11" s="5"/>
    </row>
    <row r="12" spans="1:8">
      <c r="A12" s="5"/>
      <c r="B12" s="5"/>
      <c r="C12" s="5"/>
      <c r="D12" s="5"/>
      <c r="E12" s="5"/>
    </row>
    <row r="13" spans="1:8">
      <c r="A13" s="5"/>
      <c r="B13" s="5"/>
      <c r="C13" s="5"/>
      <c r="D13" s="5"/>
      <c r="E13" s="5"/>
    </row>
    <row r="14" spans="1:8">
      <c r="A14" s="5"/>
      <c r="B14" s="5"/>
      <c r="C14" s="5"/>
      <c r="D14" s="5"/>
      <c r="E14" s="5"/>
    </row>
    <row r="15" spans="1:8">
      <c r="A15" s="5"/>
      <c r="B15" s="5"/>
      <c r="C15" s="5"/>
      <c r="D15" s="5"/>
      <c r="E15" s="5"/>
    </row>
  </sheetData>
  <mergeCells count="1">
    <mergeCell ref="A1:E1"/>
  </mergeCells>
  <phoneticPr fontId="2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2049" r:id="rId3" name="인사고과입력">
          <controlPr defaultSize="0" autoLine="0" autoPict="0" r:id="rId4">
            <anchor moveWithCells="1">
              <from>
                <xdr:col>6</xdr:col>
                <xdr:colOff>9525</xdr:colOff>
                <xdr:row>0</xdr:row>
                <xdr:rowOff>152400</xdr:rowOff>
              </from>
              <to>
                <xdr:col>7</xdr:col>
                <xdr:colOff>409575</xdr:colOff>
                <xdr:row>2</xdr:row>
                <xdr:rowOff>76200</xdr:rowOff>
              </to>
            </anchor>
          </controlPr>
        </control>
      </mc:Choice>
      <mc:Fallback>
        <control shapeId="2049" r:id="rId3" name="인사고과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컨버전스 디지털</cp:lastModifiedBy>
  <cp:lastPrinted>2020-12-19T12:58:41Z</cp:lastPrinted>
  <dcterms:created xsi:type="dcterms:W3CDTF">2020-05-12T09:04:59Z</dcterms:created>
  <dcterms:modified xsi:type="dcterms:W3CDTF">2024-03-13T06:10:54Z</dcterms:modified>
</cp:coreProperties>
</file>