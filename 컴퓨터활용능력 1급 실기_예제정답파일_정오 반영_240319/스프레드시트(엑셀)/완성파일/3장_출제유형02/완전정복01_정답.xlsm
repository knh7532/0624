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3장_출제유형02\"/>
    </mc:Choice>
  </mc:AlternateContent>
  <bookViews>
    <workbookView xWindow="0" yWindow="0" windowWidth="23040" windowHeight="9105" firstSheet="1" activeTab="1"/>
  </bookViews>
  <sheets>
    <sheet name="피벗테이블-1" sheetId="3" r:id="rId1"/>
    <sheet name="유효성검사-2" sheetId="22" r:id="rId2"/>
  </sheets>
  <definedNames>
    <definedName name="_xlnm._FilterDatabase" localSheetId="1" hidden="1">'유효성검사-2'!$A$3:$H$16</definedName>
    <definedName name="MS_Access_Database_Query" localSheetId="0" hidden="1">'피벗테이블-1'!#REF!</definedName>
  </definedNames>
  <calcPr calcId="162913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22" l="1"/>
  <c r="H15" i="22"/>
  <c r="H14" i="22"/>
  <c r="H13" i="22"/>
  <c r="H12" i="22"/>
  <c r="H11" i="22"/>
  <c r="H10" i="22"/>
  <c r="H9" i="22"/>
  <c r="H8" i="22"/>
  <c r="H7" i="22"/>
  <c r="H6" i="22"/>
  <c r="H5" i="22"/>
  <c r="H4" i="22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급여.accdb;DefaultDir=C:\OA;DriverId=25;FIL=MS Access;MaxBufferSize=2048;PageTimeout=5;" command="SELECT 명단.성명, 명단.부서, 명단.직급, 명단.기본급, 명단.상여금, 명단.급여합계, 명단.공제계, 명단.실수령액_x000d__x000a_FROM `C:\OA\급여.accdb`.명단 명단"/>
  </connection>
  <connection id="2" name="MS Access Database_Query1" type="1" refreshedVersion="6">
    <dbPr connection="DSN=MS Access Database;DBQ=C:\OA\품목.accdb;DefaultDir=C:\OA;DriverId=25;FIL=MS Access;MaxBufferSize=2048;PageTimeout=5;" command="SELECT 매출.ID, 매출.일자, 매출.요일, 매출.지점, 매출.품목, 매출.개수, 매출.매출_x000d__x000a_FROM `C:\OA\품목.accdb`.매출 매출"/>
  </connection>
</connections>
</file>

<file path=xl/sharedStrings.xml><?xml version="1.0" encoding="utf-8"?>
<sst xmlns="http://schemas.openxmlformats.org/spreadsheetml/2006/main" count="57" uniqueCount="47">
  <si>
    <t>직급</t>
  </si>
  <si>
    <t>사원</t>
  </si>
  <si>
    <t>대리</t>
  </si>
  <si>
    <t>부장</t>
  </si>
  <si>
    <t>과장</t>
  </si>
  <si>
    <t>총합계</t>
  </si>
  <si>
    <t>합계 : 기본급</t>
  </si>
  <si>
    <t>합계 : 상여금</t>
  </si>
  <si>
    <t>합계 : 급여합계</t>
  </si>
  <si>
    <t>[표1] 상공대학교 모바일프로그래밍 성적처리</t>
    <phoneticPr fontId="1" type="noConversion"/>
  </si>
  <si>
    <t>학번</t>
    <phoneticPr fontId="1" type="noConversion"/>
  </si>
  <si>
    <t>학과</t>
    <phoneticPr fontId="1" type="noConversion"/>
  </si>
  <si>
    <t>이름</t>
    <phoneticPr fontId="1" type="noConversion"/>
  </si>
  <si>
    <t>출석</t>
    <phoneticPr fontId="1" type="noConversion"/>
  </si>
  <si>
    <t>평소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</si>
  <si>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</si>
  <si>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</si>
  <si>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</si>
  <si>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M110456</t>
    <phoneticPr fontId="1" type="noConversion"/>
  </si>
  <si>
    <t>멀티미디어과</t>
    <phoneticPr fontId="1" type="noConversion"/>
  </si>
  <si>
    <t>도진영</t>
    <phoneticPr fontId="1" type="noConversion"/>
  </si>
  <si>
    <t>S121340</t>
    <phoneticPr fontId="1" type="noConversion"/>
  </si>
  <si>
    <t>소프트웨어과</t>
    <phoneticPr fontId="1" type="noConversion"/>
  </si>
  <si>
    <t>박진수</t>
    <phoneticPr fontId="1" type="noConversion"/>
  </si>
  <si>
    <t>N132056</t>
    <phoneticPr fontId="1" type="noConversion"/>
  </si>
  <si>
    <t>네트워크과</t>
    <phoneticPr fontId="1" type="noConversion"/>
  </si>
  <si>
    <t>이택준</t>
    <phoneticPr fontId="1" type="noConversion"/>
  </si>
  <si>
    <t>S145628</t>
    <phoneticPr fontId="1" type="noConversion"/>
  </si>
  <si>
    <t>김창희</t>
    <phoneticPr fontId="1" type="noConversion"/>
  </si>
  <si>
    <t>M123460</t>
    <phoneticPr fontId="1" type="noConversion"/>
  </si>
  <si>
    <t>최만중</t>
    <phoneticPr fontId="1" type="noConversion"/>
  </si>
  <si>
    <t>M140632</t>
    <phoneticPr fontId="1" type="noConversion"/>
  </si>
  <si>
    <t>전태호</t>
    <phoneticPr fontId="1" type="noConversion"/>
  </si>
  <si>
    <t>N126354</t>
    <phoneticPr fontId="1" type="noConversion"/>
  </si>
  <si>
    <t>장호영</t>
    <phoneticPr fontId="1" type="noConversion"/>
  </si>
  <si>
    <t>S130215</t>
    <phoneticPr fontId="1" type="noConversion"/>
  </si>
  <si>
    <t>민경배</t>
    <phoneticPr fontId="1" type="noConversion"/>
  </si>
  <si>
    <t>N101253</t>
    <phoneticPr fontId="1" type="noConversion"/>
  </si>
  <si>
    <t>고달호</t>
    <phoneticPr fontId="1" type="noConversion"/>
  </si>
  <si>
    <t>M133625</t>
    <phoneticPr fontId="1" type="noConversion"/>
  </si>
  <si>
    <t>임홍수</t>
    <phoneticPr fontId="1" type="noConversion"/>
  </si>
  <si>
    <t>S123056</t>
    <phoneticPr fontId="1" type="noConversion"/>
  </si>
  <si>
    <t>소인형</t>
    <phoneticPr fontId="1" type="noConversion"/>
  </si>
  <si>
    <t>M150207</t>
    <phoneticPr fontId="1" type="noConversion"/>
  </si>
  <si>
    <t>차인주</t>
    <phoneticPr fontId="1" type="noConversion"/>
  </si>
  <si>
    <t>N132416</t>
    <phoneticPr fontId="1" type="noConversion"/>
  </si>
  <si>
    <t>표인범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</si>
</sst>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,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0" fontId="3" fillId="0" borderId="0"/>
    <xf numFmtId="41" fontId="3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</cellXfs>
  <cellStyles count="5">
    <cellStyle name="쉼표 [0] 2" xfId="3"/>
    <cellStyle name="쉼표 [0] 3" xfId="4"/>
    <cellStyle name="표준" xfId="0" builtinId="0"/>
    <cellStyle name="표준 2" xfId="1"/>
    <cellStyle name="표준 2 2" xfId="2"/>
  </cellStyles>
  <dxfs count="1">
    <dxf>
      <numFmt numFmtId="176" formatCode="#,##0,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남오" refreshedDate="44074.619626157408" createdVersion="6" refreshedVersion="6" minRefreshableVersion="3" recordCount="28">
  <cacheSource type="external" connectionId="1"/>
  <cacheFields count="8">
    <cacheField name="성명" numFmtId="0" sqlType="-9">
      <sharedItems count="28">
        <s v="윤보라"/>
        <s v="유재우"/>
        <s v="인정제"/>
        <s v="이원섭"/>
        <s v="이충희"/>
        <s v="심지영"/>
        <s v="김주희"/>
        <s v="안은민"/>
        <s v="윤태성"/>
        <s v="김도현"/>
        <s v="김원종"/>
        <s v="최재석"/>
        <s v="김한솔"/>
        <s v="송정철"/>
        <s v="김준섭"/>
        <s v="박제현"/>
        <s v="배무현"/>
        <s v="김민환"/>
        <s v="하인화"/>
        <s v="이병열"/>
        <s v="박승진"/>
        <s v="심영섭"/>
        <s v="김기웅"/>
        <s v="이미라"/>
        <s v="김재홍"/>
        <s v="박정진"/>
        <s v="박도훈"/>
        <s v="박호석"/>
      </sharedItems>
    </cacheField>
    <cacheField name="부서" numFmtId="0" sqlType="-9">
      <sharedItems count="5">
        <s v="인사부"/>
        <s v="기획부"/>
        <s v="판매부"/>
        <s v="총무부"/>
        <s v="생산부"/>
      </sharedItems>
    </cacheField>
    <cacheField name="직급" numFmtId="0" sqlType="-9">
      <sharedItems count="4">
        <s v="사원"/>
        <s v="대리"/>
        <s v="부장"/>
        <s v="과장"/>
      </sharedItems>
    </cacheField>
    <cacheField name="기본급" numFmtId="0" sqlType="8">
      <sharedItems containsSemiMixedTypes="0" containsString="0" containsNumber="1" containsInteger="1" minValue="1350000" maxValue="2850000" count="10">
        <n v="1620000"/>
        <n v="1585000"/>
        <n v="1700000"/>
        <n v="1350000"/>
        <n v="1750000"/>
        <n v="1600000"/>
        <n v="1670000"/>
        <n v="2850000"/>
        <n v="1800000"/>
        <n v="2000000"/>
      </sharedItems>
    </cacheField>
    <cacheField name="상여금" numFmtId="0" sqlType="8">
      <sharedItems containsSemiMixedTypes="0" containsString="0" containsNumber="1" containsInteger="1" minValue="595000" maxValue="1645000" count="10">
        <n v="784000"/>
        <n v="759500"/>
        <n v="840000"/>
        <n v="595000"/>
        <n v="875000"/>
        <n v="770000"/>
        <n v="819000"/>
        <n v="1645000"/>
        <n v="910000"/>
        <n v="1050000"/>
      </sharedItems>
    </cacheField>
    <cacheField name="급여합계" numFmtId="0" sqlType="8">
      <sharedItems containsSemiMixedTypes="0" containsString="0" containsNumber="1" containsInteger="1" minValue="1945000" maxValue="4495000" count="10">
        <n v="2404000"/>
        <n v="2344500"/>
        <n v="2540000"/>
        <n v="1945000"/>
        <n v="2625000"/>
        <n v="2370000"/>
        <n v="2489000"/>
        <n v="4495000"/>
        <n v="2710000"/>
        <n v="3050000"/>
      </sharedItems>
    </cacheField>
    <cacheField name="공제계" numFmtId="0" sqlType="8">
      <sharedItems containsSemiMixedTypes="0" containsString="0" containsNumber="1" containsInteger="1" minValue="194500" maxValue="449500" count="10">
        <n v="240400"/>
        <n v="234450"/>
        <n v="254000"/>
        <n v="194500"/>
        <n v="262500"/>
        <n v="237000"/>
        <n v="248900"/>
        <n v="449500"/>
        <n v="271000"/>
        <n v="305000"/>
      </sharedItems>
    </cacheField>
    <cacheField name="실수령액" numFmtId="0" sqlType="8">
      <sharedItems containsSemiMixedTypes="0" containsString="0" containsNumber="1" containsInteger="1" minValue="1750500" maxValue="4045500" count="10">
        <n v="2163600"/>
        <n v="2110050"/>
        <n v="2286000"/>
        <n v="1750500"/>
        <n v="2362500"/>
        <n v="2133000"/>
        <n v="2240100"/>
        <n v="4045500"/>
        <n v="2439000"/>
        <n v="2745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x v="0"/>
    <x v="0"/>
    <x v="0"/>
    <x v="0"/>
    <x v="0"/>
    <x v="0"/>
  </r>
  <r>
    <x v="1"/>
    <x v="1"/>
    <x v="0"/>
    <x v="1"/>
    <x v="1"/>
    <x v="1"/>
    <x v="1"/>
    <x v="1"/>
  </r>
  <r>
    <x v="2"/>
    <x v="2"/>
    <x v="1"/>
    <x v="2"/>
    <x v="2"/>
    <x v="2"/>
    <x v="2"/>
    <x v="2"/>
  </r>
  <r>
    <x v="3"/>
    <x v="3"/>
    <x v="0"/>
    <x v="3"/>
    <x v="3"/>
    <x v="3"/>
    <x v="3"/>
    <x v="3"/>
  </r>
  <r>
    <x v="4"/>
    <x v="1"/>
    <x v="0"/>
    <x v="3"/>
    <x v="3"/>
    <x v="3"/>
    <x v="3"/>
    <x v="3"/>
  </r>
  <r>
    <x v="5"/>
    <x v="0"/>
    <x v="1"/>
    <x v="4"/>
    <x v="4"/>
    <x v="4"/>
    <x v="4"/>
    <x v="4"/>
  </r>
  <r>
    <x v="6"/>
    <x v="3"/>
    <x v="1"/>
    <x v="4"/>
    <x v="4"/>
    <x v="4"/>
    <x v="4"/>
    <x v="4"/>
  </r>
  <r>
    <x v="7"/>
    <x v="3"/>
    <x v="0"/>
    <x v="5"/>
    <x v="5"/>
    <x v="5"/>
    <x v="5"/>
    <x v="5"/>
  </r>
  <r>
    <x v="8"/>
    <x v="2"/>
    <x v="0"/>
    <x v="1"/>
    <x v="1"/>
    <x v="1"/>
    <x v="1"/>
    <x v="1"/>
  </r>
  <r>
    <x v="9"/>
    <x v="3"/>
    <x v="1"/>
    <x v="2"/>
    <x v="2"/>
    <x v="2"/>
    <x v="2"/>
    <x v="2"/>
  </r>
  <r>
    <x v="10"/>
    <x v="1"/>
    <x v="1"/>
    <x v="6"/>
    <x v="6"/>
    <x v="6"/>
    <x v="6"/>
    <x v="6"/>
  </r>
  <r>
    <x v="11"/>
    <x v="2"/>
    <x v="2"/>
    <x v="7"/>
    <x v="7"/>
    <x v="7"/>
    <x v="7"/>
    <x v="7"/>
  </r>
  <r>
    <x v="12"/>
    <x v="3"/>
    <x v="1"/>
    <x v="8"/>
    <x v="8"/>
    <x v="8"/>
    <x v="8"/>
    <x v="8"/>
  </r>
  <r>
    <x v="13"/>
    <x v="3"/>
    <x v="1"/>
    <x v="2"/>
    <x v="2"/>
    <x v="2"/>
    <x v="2"/>
    <x v="2"/>
  </r>
  <r>
    <x v="14"/>
    <x v="2"/>
    <x v="1"/>
    <x v="2"/>
    <x v="2"/>
    <x v="2"/>
    <x v="2"/>
    <x v="2"/>
  </r>
  <r>
    <x v="15"/>
    <x v="4"/>
    <x v="0"/>
    <x v="9"/>
    <x v="9"/>
    <x v="9"/>
    <x v="9"/>
    <x v="9"/>
  </r>
  <r>
    <x v="16"/>
    <x v="0"/>
    <x v="0"/>
    <x v="1"/>
    <x v="1"/>
    <x v="1"/>
    <x v="1"/>
    <x v="1"/>
  </r>
  <r>
    <x v="17"/>
    <x v="3"/>
    <x v="3"/>
    <x v="9"/>
    <x v="9"/>
    <x v="9"/>
    <x v="9"/>
    <x v="9"/>
  </r>
  <r>
    <x v="18"/>
    <x v="3"/>
    <x v="0"/>
    <x v="5"/>
    <x v="5"/>
    <x v="5"/>
    <x v="5"/>
    <x v="5"/>
  </r>
  <r>
    <x v="19"/>
    <x v="3"/>
    <x v="0"/>
    <x v="1"/>
    <x v="1"/>
    <x v="1"/>
    <x v="1"/>
    <x v="1"/>
  </r>
  <r>
    <x v="20"/>
    <x v="1"/>
    <x v="1"/>
    <x v="2"/>
    <x v="2"/>
    <x v="2"/>
    <x v="2"/>
    <x v="2"/>
  </r>
  <r>
    <x v="21"/>
    <x v="2"/>
    <x v="1"/>
    <x v="6"/>
    <x v="6"/>
    <x v="6"/>
    <x v="6"/>
    <x v="6"/>
  </r>
  <r>
    <x v="22"/>
    <x v="3"/>
    <x v="2"/>
    <x v="7"/>
    <x v="7"/>
    <x v="7"/>
    <x v="7"/>
    <x v="7"/>
  </r>
  <r>
    <x v="23"/>
    <x v="3"/>
    <x v="1"/>
    <x v="8"/>
    <x v="8"/>
    <x v="8"/>
    <x v="8"/>
    <x v="8"/>
  </r>
  <r>
    <x v="24"/>
    <x v="2"/>
    <x v="1"/>
    <x v="2"/>
    <x v="2"/>
    <x v="2"/>
    <x v="2"/>
    <x v="2"/>
  </r>
  <r>
    <x v="25"/>
    <x v="4"/>
    <x v="1"/>
    <x v="2"/>
    <x v="2"/>
    <x v="2"/>
    <x v="2"/>
    <x v="2"/>
  </r>
  <r>
    <x v="26"/>
    <x v="0"/>
    <x v="0"/>
    <x v="9"/>
    <x v="9"/>
    <x v="9"/>
    <x v="9"/>
    <x v="9"/>
  </r>
  <r>
    <x v="27"/>
    <x v="0"/>
    <x v="0"/>
    <x v="1"/>
    <x v="1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2:E7" firstHeaderRow="0" firstDataRow="1" firstDataCol="1"/>
  <pivotFields count="8">
    <pivotField compact="0" showAll="0"/>
    <pivotField compact="0" showAll="0"/>
    <pivotField axis="axisRow" compact="0" showAll="0">
      <items count="5">
        <item x="3"/>
        <item x="1"/>
        <item x="2"/>
        <item x="0"/>
        <item t="default"/>
      </items>
    </pivotField>
    <pivotField dataField="1" compact="0" showAll="0"/>
    <pivotField dataField="1" compact="0" showAll="0"/>
    <pivotField dataField="1" compact="0" showAll="0"/>
    <pivotField compact="0" showAll="0"/>
    <pivotField compact="0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기본급" fld="3" baseField="0" baseItem="0" numFmtId="176"/>
    <dataField name="합계 : 상여금" fld="4" baseField="0" baseItem="0" numFmtId="176"/>
    <dataField name="합계 : 급여합계" fld="5" showDataAs="percentOfTotal" baseField="2" baseItem="0" numFmtId="10"/>
  </dataFields>
  <formats count="1">
    <format dxfId="0">
      <pivotArea outline="0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7"/>
  <sheetViews>
    <sheetView workbookViewId="0">
      <selection activeCell="G31" sqref="G31"/>
    </sheetView>
  </sheetViews>
  <sheetFormatPr defaultRowHeight="16.5" x14ac:dyDescent="0.3"/>
  <cols>
    <col min="2" max="2" width="7.5" customWidth="1"/>
    <col min="3" max="4" width="13.125" bestFit="1" customWidth="1"/>
    <col min="5" max="5" width="15.25" bestFit="1" customWidth="1"/>
  </cols>
  <sheetData>
    <row r="2" spans="2:5" x14ac:dyDescent="0.3">
      <c r="B2" s="1" t="s">
        <v>0</v>
      </c>
      <c r="C2" t="s">
        <v>6</v>
      </c>
      <c r="D2" t="s">
        <v>7</v>
      </c>
      <c r="E2" t="s">
        <v>8</v>
      </c>
    </row>
    <row r="3" spans="2:5" x14ac:dyDescent="0.3">
      <c r="B3" t="s">
        <v>4</v>
      </c>
      <c r="C3" s="3">
        <v>2000000</v>
      </c>
      <c r="D3" s="3">
        <v>1050000</v>
      </c>
      <c r="E3" s="2">
        <v>4.1036266641551578E-2</v>
      </c>
    </row>
    <row r="4" spans="2:5" x14ac:dyDescent="0.3">
      <c r="B4" t="s">
        <v>2</v>
      </c>
      <c r="C4" s="3">
        <v>22340000</v>
      </c>
      <c r="D4" s="3">
        <v>11088000</v>
      </c>
      <c r="E4" s="2">
        <v>0.44975748239140528</v>
      </c>
    </row>
    <row r="5" spans="2:5" x14ac:dyDescent="0.3">
      <c r="B5" t="s">
        <v>3</v>
      </c>
      <c r="C5" s="3">
        <v>5700000</v>
      </c>
      <c r="D5" s="3">
        <v>3290000</v>
      </c>
      <c r="E5" s="2">
        <v>0.12095607774017988</v>
      </c>
    </row>
    <row r="6" spans="2:5" x14ac:dyDescent="0.3">
      <c r="B6" t="s">
        <v>1</v>
      </c>
      <c r="C6" s="3">
        <v>19445000</v>
      </c>
      <c r="D6" s="3">
        <v>9411500</v>
      </c>
      <c r="E6" s="2">
        <v>0.38825017322686328</v>
      </c>
    </row>
    <row r="7" spans="2:5" x14ac:dyDescent="0.3">
      <c r="B7" t="s">
        <v>5</v>
      </c>
      <c r="C7" s="3">
        <v>49485000</v>
      </c>
      <c r="D7" s="3">
        <v>24839500</v>
      </c>
      <c r="E7" s="2">
        <v>1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16"/>
  <sheetViews>
    <sheetView tabSelected="1" workbookViewId="0">
      <selection activeCell="I21" sqref="I21"/>
    </sheetView>
  </sheetViews>
  <sheetFormatPr defaultRowHeight="16.5" x14ac:dyDescent="0.3"/>
  <cols>
    <col min="1" max="1" width="12.5" customWidth="1"/>
    <col min="2" max="2" width="13" bestFit="1" customWidth="1"/>
  </cols>
  <sheetData>
    <row r="1" spans="1:8" ht="17.25" x14ac:dyDescent="0.3">
      <c r="A1" s="4" t="s">
        <v>9</v>
      </c>
      <c r="B1" s="5"/>
      <c r="C1" s="5"/>
      <c r="D1" s="5"/>
      <c r="E1" s="5"/>
      <c r="F1" s="5"/>
      <c r="G1" s="5"/>
      <c r="H1" s="5"/>
    </row>
    <row r="3" spans="1:8" x14ac:dyDescent="0.3">
      <c r="A3" s="6" t="s">
        <v>10</v>
      </c>
      <c r="B3" s="6" t="s">
        <v>11</v>
      </c>
      <c r="C3" s="6" t="s">
        <v>12</v>
      </c>
      <c r="D3" s="6" t="s">
        <v>13</v>
      </c>
      <c r="E3" s="6" t="s">
        <v>14</v>
      </c>
      <c r="F3" s="6" t="s">
        <v>15</v>
      </c>
      <c r="G3" s="6" t="s">
        <v>16</v>
      </c>
      <c r="H3" s="6" t="s">
        <v>17</v>
      </c>
    </row>
    <row r="4" spans="1:8" hidden="1" x14ac:dyDescent="0.3">
      <c r="A4" s="6" t="s">
        <v>18</v>
      </c>
      <c r="B4" s="6" t="s">
        <v>19</v>
      </c>
      <c r="C4" s="6" t="s">
        <v>20</v>
      </c>
      <c r="D4" s="6">
        <v>17</v>
      </c>
      <c r="E4" s="6">
        <v>16</v>
      </c>
      <c r="F4" s="6">
        <v>28</v>
      </c>
      <c r="G4" s="6">
        <v>24</v>
      </c>
      <c r="H4" s="6">
        <f>SUM(D4:G4)</f>
        <v>85</v>
      </c>
    </row>
    <row r="5" spans="1:8" x14ac:dyDescent="0.3">
      <c r="A5" s="6" t="s">
        <v>21</v>
      </c>
      <c r="B5" s="6" t="s">
        <v>22</v>
      </c>
      <c r="C5" s="6" t="s">
        <v>23</v>
      </c>
      <c r="D5" s="6">
        <v>15</v>
      </c>
      <c r="E5" s="6">
        <v>16</v>
      </c>
      <c r="F5" s="6">
        <v>25</v>
      </c>
      <c r="G5" s="6">
        <v>26</v>
      </c>
      <c r="H5" s="6">
        <f t="shared" ref="H5:H16" si="0">SUM(D5:G5)</f>
        <v>82</v>
      </c>
    </row>
    <row r="6" spans="1:8" hidden="1" x14ac:dyDescent="0.3">
      <c r="A6" s="6" t="s">
        <v>24</v>
      </c>
      <c r="B6" s="6" t="s">
        <v>25</v>
      </c>
      <c r="C6" s="6" t="s">
        <v>26</v>
      </c>
      <c r="D6" s="6">
        <v>12</v>
      </c>
      <c r="E6" s="6">
        <v>13</v>
      </c>
      <c r="F6" s="6">
        <v>21</v>
      </c>
      <c r="G6" s="6">
        <v>23</v>
      </c>
      <c r="H6" s="6">
        <f t="shared" si="0"/>
        <v>69</v>
      </c>
    </row>
    <row r="7" spans="1:8" x14ac:dyDescent="0.3">
      <c r="A7" s="6" t="s">
        <v>27</v>
      </c>
      <c r="B7" s="6" t="s">
        <v>22</v>
      </c>
      <c r="C7" s="6" t="s">
        <v>28</v>
      </c>
      <c r="D7" s="6">
        <v>20</v>
      </c>
      <c r="E7" s="6">
        <v>19</v>
      </c>
      <c r="F7" s="6">
        <v>29</v>
      </c>
      <c r="G7" s="6">
        <v>27</v>
      </c>
      <c r="H7" s="6">
        <f t="shared" si="0"/>
        <v>95</v>
      </c>
    </row>
    <row r="8" spans="1:8" hidden="1" x14ac:dyDescent="0.3">
      <c r="A8" s="6" t="s">
        <v>29</v>
      </c>
      <c r="B8" s="6" t="s">
        <v>19</v>
      </c>
      <c r="C8" s="6" t="s">
        <v>30</v>
      </c>
      <c r="D8" s="6">
        <v>19</v>
      </c>
      <c r="E8" s="6">
        <v>19</v>
      </c>
      <c r="F8" s="6">
        <v>26</v>
      </c>
      <c r="G8" s="6">
        <v>28</v>
      </c>
      <c r="H8" s="6">
        <f t="shared" si="0"/>
        <v>92</v>
      </c>
    </row>
    <row r="9" spans="1:8" hidden="1" x14ac:dyDescent="0.3">
      <c r="A9" s="6" t="s">
        <v>31</v>
      </c>
      <c r="B9" s="6" t="s">
        <v>19</v>
      </c>
      <c r="C9" s="6" t="s">
        <v>32</v>
      </c>
      <c r="D9" s="6">
        <v>16</v>
      </c>
      <c r="E9" s="6">
        <v>17</v>
      </c>
      <c r="F9" s="6">
        <v>23</v>
      </c>
      <c r="G9" s="6">
        <v>21</v>
      </c>
      <c r="H9" s="6">
        <f t="shared" si="0"/>
        <v>77</v>
      </c>
    </row>
    <row r="10" spans="1:8" hidden="1" x14ac:dyDescent="0.3">
      <c r="A10" s="6" t="s">
        <v>33</v>
      </c>
      <c r="B10" s="6" t="s">
        <v>25</v>
      </c>
      <c r="C10" s="6" t="s">
        <v>34</v>
      </c>
      <c r="D10" s="6">
        <v>19</v>
      </c>
      <c r="E10" s="6">
        <v>18</v>
      </c>
      <c r="F10" s="6">
        <v>27</v>
      </c>
      <c r="G10" s="6">
        <v>26</v>
      </c>
      <c r="H10" s="6">
        <f t="shared" si="0"/>
        <v>90</v>
      </c>
    </row>
    <row r="11" spans="1:8" x14ac:dyDescent="0.3">
      <c r="A11" s="6" t="s">
        <v>35</v>
      </c>
      <c r="B11" s="6" t="s">
        <v>22</v>
      </c>
      <c r="C11" s="6" t="s">
        <v>36</v>
      </c>
      <c r="D11" s="6">
        <v>14</v>
      </c>
      <c r="E11" s="6">
        <v>13</v>
      </c>
      <c r="F11" s="6">
        <v>18</v>
      </c>
      <c r="G11" s="6">
        <v>20</v>
      </c>
      <c r="H11" s="6">
        <f t="shared" si="0"/>
        <v>65</v>
      </c>
    </row>
    <row r="12" spans="1:8" hidden="1" x14ac:dyDescent="0.3">
      <c r="A12" s="6" t="s">
        <v>37</v>
      </c>
      <c r="B12" s="6" t="s">
        <v>25</v>
      </c>
      <c r="C12" s="6" t="s">
        <v>38</v>
      </c>
      <c r="D12" s="6">
        <v>12</v>
      </c>
      <c r="E12" s="6">
        <v>10</v>
      </c>
      <c r="F12" s="6">
        <v>15</v>
      </c>
      <c r="G12" s="6">
        <v>18</v>
      </c>
      <c r="H12" s="6">
        <f t="shared" si="0"/>
        <v>55</v>
      </c>
    </row>
    <row r="13" spans="1:8" hidden="1" x14ac:dyDescent="0.3">
      <c r="A13" s="6" t="s">
        <v>39</v>
      </c>
      <c r="B13" s="6" t="s">
        <v>19</v>
      </c>
      <c r="C13" s="6" t="s">
        <v>40</v>
      </c>
      <c r="D13" s="6">
        <v>16</v>
      </c>
      <c r="E13" s="6">
        <v>17</v>
      </c>
      <c r="F13" s="6">
        <v>19</v>
      </c>
      <c r="G13" s="6">
        <v>21</v>
      </c>
      <c r="H13" s="6">
        <f t="shared" si="0"/>
        <v>73</v>
      </c>
    </row>
    <row r="14" spans="1:8" x14ac:dyDescent="0.3">
      <c r="A14" s="6" t="s">
        <v>41</v>
      </c>
      <c r="B14" s="6" t="s">
        <v>22</v>
      </c>
      <c r="C14" s="6" t="s">
        <v>42</v>
      </c>
      <c r="D14" s="6">
        <v>15</v>
      </c>
      <c r="E14" s="6">
        <v>18</v>
      </c>
      <c r="F14" s="6">
        <v>20</v>
      </c>
      <c r="G14" s="6">
        <v>17</v>
      </c>
      <c r="H14" s="6">
        <f t="shared" si="0"/>
        <v>70</v>
      </c>
    </row>
    <row r="15" spans="1:8" hidden="1" x14ac:dyDescent="0.3">
      <c r="A15" s="6" t="s">
        <v>43</v>
      </c>
      <c r="B15" s="6" t="s">
        <v>19</v>
      </c>
      <c r="C15" s="6" t="s">
        <v>44</v>
      </c>
      <c r="D15" s="6">
        <v>18</v>
      </c>
      <c r="E15" s="6">
        <v>17</v>
      </c>
      <c r="F15" s="6">
        <v>24</v>
      </c>
      <c r="G15" s="6">
        <v>21</v>
      </c>
      <c r="H15" s="6">
        <f t="shared" si="0"/>
        <v>80</v>
      </c>
    </row>
    <row r="16" spans="1:8" hidden="1" x14ac:dyDescent="0.3">
      <c r="A16" s="6" t="s">
        <v>45</v>
      </c>
      <c r="B16" s="6" t="s">
        <v>25</v>
      </c>
      <c r="C16" s="6" t="s">
        <v>46</v>
      </c>
      <c r="D16" s="6">
        <v>17</v>
      </c>
      <c r="E16" s="6">
        <v>15</v>
      </c>
      <c r="F16" s="6">
        <v>22</v>
      </c>
      <c r="G16" s="6">
        <v>23</v>
      </c>
      <c r="H16" s="6">
        <f t="shared" si="0"/>
        <v>77</v>
      </c>
    </row>
  </sheetData>
  <autoFilter ref="A3:H16">
    <filterColumn colId="1">
      <filters>
        <filter val="소프트웨어과"/>
      </filters>
    </filterColumn>
  </autoFilter>
  <phoneticPr fontId="1" type="noConversion"/>
  <dataValidations disablePrompts="1" count="1">
    <dataValidation type="whole" errorStyle="warning" allowBlank="1" showInputMessage="1" showErrorMessage="1" errorTitle="점수확인" error="입력한 점수를 확인하세요." promptTitle="입력범위" prompt="0~30" sqref="F4:G16">
      <formula1>0</formula1>
      <formula2>30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피벗테이블-1</vt:lpstr>
      <vt:lpstr>유효성검사-2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2020-06-03T03:41:41Z</dcterms:created>
  <dcterms:modified xsi:type="dcterms:W3CDTF">2020-10-28T06:44:16Z</dcterms:modified>
</cp:coreProperties>
</file>