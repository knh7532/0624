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/>
  <mc:AlternateContent xmlns:mc="http://schemas.openxmlformats.org/markup-compatibility/2006">
    <mc:Choice Requires="x15">
      <x15ac:absPath xmlns:x15ac="http://schemas.microsoft.com/office/spreadsheetml/2010/11/ac" url="C:\Users\sw\Desktop\2024_컴활실기1급\엑셀\완성파일\2장_출제유형02\"/>
    </mc:Choice>
  </mc:AlternateContent>
  <xr:revisionPtr revIDLastSave="0" documentId="13_ncr:1_{6A4C59FA-3F92-45A0-BD1D-B0B23A1660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계산작업-2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 a="1"/>
  <c r="D25" i="4" s="1"/>
  <c r="D26" i="4" a="1"/>
  <c r="D26" i="4" s="1"/>
  <c r="D27" i="4" a="1"/>
  <c r="D27" i="4" s="1"/>
  <c r="D28" i="4" a="1"/>
  <c r="D28" i="4" s="1"/>
  <c r="D24" i="4" a="1"/>
  <c r="D24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13" i="4" a="1"/>
  <c r="I13" i="4" s="1"/>
  <c r="D19" i="4"/>
  <c r="D18" i="4"/>
  <c r="D17" i="4"/>
  <c r="D16" i="4"/>
  <c r="D15" i="4"/>
  <c r="D14" i="4"/>
  <c r="D13" i="4"/>
  <c r="K9" i="4"/>
  <c r="K8" i="4"/>
  <c r="K7" i="4"/>
  <c r="D7" i="4"/>
  <c r="K6" i="4"/>
  <c r="D6" i="4"/>
  <c r="K5" i="4"/>
  <c r="D5" i="4"/>
  <c r="K4" i="4"/>
  <c r="D4" i="4"/>
  <c r="K3" i="4"/>
  <c r="D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<sst xmlns="http://schemas.openxmlformats.org/spreadsheetml/2006/main" count="71" uniqueCount="66">
  <si>
    <t>성명</t>
  </si>
  <si>
    <t>[표1] 공정간 작업 현황</t>
    <phoneticPr fontId="8" type="noConversion"/>
  </si>
  <si>
    <t xml:space="preserve">[표2] 중간고사 성적표 </t>
    <phoneticPr fontId="3" type="noConversion"/>
  </si>
  <si>
    <t>공정</t>
    <phoneticPr fontId="8" type="noConversion"/>
  </si>
  <si>
    <t>오차율</t>
    <phoneticPr fontId="8" type="noConversion"/>
  </si>
  <si>
    <t>생산량</t>
    <phoneticPr fontId="8" type="noConversion"/>
  </si>
  <si>
    <t>판정</t>
    <phoneticPr fontId="8" type="noConversion"/>
  </si>
  <si>
    <t>이름</t>
    <phoneticPr fontId="3" type="noConversion"/>
  </si>
  <si>
    <t>성별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</si>
  <si>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</si>
  <si>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</si>
  <si>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</si>
  <si>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결과</t>
    <phoneticPr fontId="3" type="noConversion"/>
  </si>
  <si>
    <t>A공정</t>
    <phoneticPr fontId="8" type="noConversion"/>
  </si>
  <si>
    <t>강동현</t>
    <phoneticPr fontId="3" type="noConversion"/>
  </si>
  <si>
    <t>남</t>
    <phoneticPr fontId="3" type="noConversion"/>
  </si>
  <si>
    <t>B공정</t>
    <phoneticPr fontId="8" type="noConversion"/>
  </si>
  <si>
    <t>김민수</t>
    <phoneticPr fontId="3" type="noConversion"/>
  </si>
  <si>
    <t>C공정</t>
    <phoneticPr fontId="8" type="noConversion"/>
  </si>
  <si>
    <t>황현성</t>
    <phoneticPr fontId="3" type="noConversion"/>
  </si>
  <si>
    <t>D공정</t>
    <phoneticPr fontId="8" type="noConversion"/>
  </si>
  <si>
    <t>하희민</t>
    <phoneticPr fontId="3" type="noConversion"/>
  </si>
  <si>
    <t>여</t>
    <phoneticPr fontId="3" type="noConversion"/>
  </si>
  <si>
    <t>E공정</t>
    <phoneticPr fontId="8" type="noConversion"/>
  </si>
  <si>
    <t>고영수</t>
    <phoneticPr fontId="3" type="noConversion"/>
  </si>
  <si>
    <t>박미라</t>
    <phoneticPr fontId="3" type="noConversion"/>
  </si>
  <si>
    <t>이동성</t>
    <phoneticPr fontId="3" type="noConversion"/>
  </si>
  <si>
    <t xml:space="preserve">[표3] 순위 분석 </t>
    <phoneticPr fontId="8" type="noConversion"/>
  </si>
  <si>
    <t>[표4] 가족수당</t>
    <phoneticPr fontId="3" type="noConversion"/>
  </si>
  <si>
    <t>이름</t>
    <phoneticPr fontId="8" type="noConversion"/>
  </si>
  <si>
    <t>중간고사</t>
    <phoneticPr fontId="8" type="noConversion"/>
  </si>
  <si>
    <t>기말고사</t>
    <phoneticPr fontId="8" type="noConversion"/>
  </si>
  <si>
    <t>분석</t>
    <phoneticPr fontId="8" type="noConversion"/>
  </si>
  <si>
    <t>기본급</t>
  </si>
  <si>
    <t>가족수</t>
    <phoneticPr fontId="3" type="noConversion"/>
  </si>
  <si>
    <t>수당</t>
    <phoneticPr fontId="3" type="noConversion"/>
  </si>
  <si>
    <t>이세아</t>
    <phoneticPr fontId="8" type="noConversion"/>
  </si>
  <si>
    <t>김근아</t>
    <phoneticPr fontId="3" type="noConversion"/>
  </si>
  <si>
    <t>황현정</t>
    <phoneticPr fontId="8" type="noConversion"/>
  </si>
  <si>
    <t>조영수</t>
    <phoneticPr fontId="3" type="noConversion"/>
  </si>
  <si>
    <t>김길동</t>
    <phoneticPr fontId="8" type="noConversion"/>
  </si>
  <si>
    <t>민병훈</t>
    <phoneticPr fontId="3" type="noConversion"/>
  </si>
  <si>
    <t>임호진</t>
    <phoneticPr fontId="8" type="noConversion"/>
  </si>
  <si>
    <t>이미선</t>
    <phoneticPr fontId="3" type="noConversion"/>
  </si>
  <si>
    <t>박윤진</t>
    <phoneticPr fontId="8" type="noConversion"/>
  </si>
  <si>
    <t>봉태우</t>
    <phoneticPr fontId="3" type="noConversion"/>
  </si>
  <si>
    <t>김태원</t>
    <phoneticPr fontId="8" type="noConversion"/>
  </si>
  <si>
    <t>성아람</t>
    <phoneticPr fontId="3" type="noConversion"/>
  </si>
  <si>
    <t>구민수</t>
    <phoneticPr fontId="3" type="noConversion"/>
  </si>
  <si>
    <t>이우리</t>
    <phoneticPr fontId="3" type="noConversion"/>
  </si>
  <si>
    <t>태진아</t>
    <phoneticPr fontId="3" type="noConversion"/>
  </si>
  <si>
    <t>신호</t>
    <phoneticPr fontId="8" type="noConversion"/>
  </si>
  <si>
    <t>점검자</t>
    <phoneticPr fontId="3" type="noConversion"/>
  </si>
  <si>
    <t>박태수</t>
    <phoneticPr fontId="3" type="noConversion"/>
  </si>
  <si>
    <t>김병문</t>
    <phoneticPr fontId="3" type="noConversion"/>
  </si>
  <si>
    <t>개폐</t>
    <phoneticPr fontId="8" type="noConversion"/>
  </si>
  <si>
    <t>[표5] 기계실 개폐 현황</t>
    <phoneticPr fontId="8" type="noConversion"/>
  </si>
  <si>
    <t>기계실</t>
    <phoneticPr fontId="8" type="noConversion"/>
  </si>
  <si>
    <t>기계1실</t>
    <phoneticPr fontId="8" type="noConversion"/>
  </si>
  <si>
    <t>기계2실</t>
  </si>
  <si>
    <t>기계3실</t>
  </si>
  <si>
    <t>기계4실</t>
  </si>
  <si>
    <t>기계5실</t>
  </si>
  <si>
    <t>김민혁</t>
    <phoneticPr fontId="3" type="noConversion"/>
  </si>
  <si>
    <t>송건우</t>
    <phoneticPr fontId="3" type="noConversion"/>
  </si>
  <si>
    <t>이교신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</si>
</sst>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%"/>
    <numFmt numFmtId="177" formatCode="0_);[Red]\(0\)"/>
    <numFmt numFmtId="178" formatCode="#,##0_ 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0" applyFont="1">
      <alignment vertical="center"/>
    </xf>
    <xf numFmtId="0" fontId="5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Alignment="1"/>
    <xf numFmtId="0" fontId="10" fillId="0" borderId="1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76" fontId="10" fillId="0" borderId="1" xfId="2" applyNumberFormat="1" applyFont="1" applyBorder="1" applyAlignment="1">
      <alignment horizontal="center"/>
    </xf>
    <xf numFmtId="41" fontId="10" fillId="0" borderId="1" xfId="1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177" fontId="12" fillId="0" borderId="1" xfId="3" applyNumberFormat="1" applyFont="1" applyBorder="1" applyAlignment="1">
      <alignment horizontal="center"/>
    </xf>
    <xf numFmtId="41" fontId="10" fillId="0" borderId="1" xfId="4" applyFont="1" applyBorder="1" applyAlignment="1">
      <alignment horizontal="center" vertical="center"/>
    </xf>
    <xf numFmtId="178" fontId="4" fillId="0" borderId="1" xfId="4" applyNumberFormat="1" applyFont="1" applyBorder="1" applyAlignment="1">
      <alignment vertical="center"/>
    </xf>
    <xf numFmtId="178" fontId="4" fillId="0" borderId="1" xfId="4" applyNumberFormat="1" applyFont="1" applyBorder="1" applyAlignment="1">
      <alignment horizontal="center" vertical="center"/>
    </xf>
    <xf numFmtId="41" fontId="4" fillId="0" borderId="1" xfId="4" applyFont="1" applyBorder="1" applyAlignment="1">
      <alignment horizontal="center" vertical="center"/>
    </xf>
    <xf numFmtId="41" fontId="10" fillId="0" borderId="1" xfId="4" applyFont="1" applyFill="1" applyBorder="1" applyAlignment="1">
      <alignment horizontal="center" vertical="center"/>
    </xf>
  </cellXfs>
  <cellStyles count="5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_소책자(1급)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8"/>
  <sheetViews>
    <sheetView tabSelected="1" workbookViewId="0">
      <selection activeCell="G29" sqref="G29"/>
    </sheetView>
  </sheetViews>
  <sheetFormatPr defaultColWidth="8.75" defaultRowHeight="16.5"/>
  <cols>
    <col min="1" max="1" width="9.75" customWidth="1"/>
    <col min="4" max="4" width="7.875" customWidth="1"/>
    <col min="7" max="7" width="10.75" customWidth="1"/>
    <col min="8" max="8" width="9.375" customWidth="1"/>
    <col min="9" max="9" width="11.875" customWidth="1"/>
    <col min="11" max="11" width="7.375" customWidth="1"/>
  </cols>
  <sheetData>
    <row r="1" spans="1:11" s="3" customFormat="1">
      <c r="A1" s="7" t="s">
        <v>1</v>
      </c>
      <c r="B1" s="7"/>
      <c r="C1" s="7"/>
      <c r="D1" s="7"/>
      <c r="F1" s="3" t="s">
        <v>2</v>
      </c>
      <c r="H1"/>
      <c r="I1"/>
      <c r="J1"/>
      <c r="K1"/>
    </row>
    <row r="2" spans="1:11">
      <c r="A2" s="8" t="s">
        <v>3</v>
      </c>
      <c r="B2" s="8" t="s">
        <v>4</v>
      </c>
      <c r="C2" s="8" t="s">
        <v>5</v>
      </c>
      <c r="D2" s="9" t="s">
        <v>6</v>
      </c>
      <c r="F2" s="10" t="s">
        <v>7</v>
      </c>
      <c r="G2" s="10" t="s">
        <v>8</v>
      </c>
      <c r="H2" s="10" t="s">
        <v>9</v>
      </c>
      <c r="I2" s="10" t="s">
        <v>10</v>
      </c>
      <c r="J2" s="10" t="s">
        <v>11</v>
      </c>
      <c r="K2" s="6" t="s">
        <v>12</v>
      </c>
    </row>
    <row r="3" spans="1:11">
      <c r="A3" s="8" t="s">
        <v>13</v>
      </c>
      <c r="B3" s="11">
        <v>1.4999999999999999E-2</v>
      </c>
      <c r="C3" s="12">
        <v>15000</v>
      </c>
      <c r="D3" s="8" t="str">
        <f>IF(AND(B3&lt;1%,C3&gt;=10000),"통과","검토")</f>
        <v>검토</v>
      </c>
      <c r="F3" s="10" t="s">
        <v>14</v>
      </c>
      <c r="G3" s="10" t="s">
        <v>15</v>
      </c>
      <c r="H3" s="10">
        <v>95</v>
      </c>
      <c r="I3" s="10">
        <v>90</v>
      </c>
      <c r="J3" s="10">
        <v>100</v>
      </c>
      <c r="K3" s="10" t="str">
        <f>IF(AND(H3&gt;=90,OR(I3&gt;=80,J3&gt;=80)),"우수","")</f>
        <v>우수</v>
      </c>
    </row>
    <row r="4" spans="1:11">
      <c r="A4" s="8" t="s">
        <v>16</v>
      </c>
      <c r="B4" s="11">
        <v>8.0000000000000002E-3</v>
      </c>
      <c r="C4" s="12">
        <v>23000</v>
      </c>
      <c r="D4" s="8" t="str">
        <f t="shared" ref="D4:D7" si="0">IF(AND(B4&lt;1%,C4&gt;=10000),"통과","검토")</f>
        <v>통과</v>
      </c>
      <c r="F4" s="10" t="s">
        <v>17</v>
      </c>
      <c r="G4" s="10" t="s">
        <v>15</v>
      </c>
      <c r="H4" s="10">
        <v>90</v>
      </c>
      <c r="I4" s="10">
        <v>85</v>
      </c>
      <c r="J4" s="10">
        <v>95</v>
      </c>
      <c r="K4" s="10" t="str">
        <f t="shared" ref="K4:K9" si="1">IF(AND(H4&gt;=90,OR(I4&gt;=80,J4&gt;=80)),"우수","")</f>
        <v>우수</v>
      </c>
    </row>
    <row r="5" spans="1:11">
      <c r="A5" s="8" t="s">
        <v>18</v>
      </c>
      <c r="B5" s="11">
        <v>2.1000000000000001E-2</v>
      </c>
      <c r="C5" s="12">
        <v>9500</v>
      </c>
      <c r="D5" s="8" t="str">
        <f t="shared" si="0"/>
        <v>검토</v>
      </c>
      <c r="F5" s="10" t="s">
        <v>19</v>
      </c>
      <c r="G5" s="10" t="s">
        <v>15</v>
      </c>
      <c r="H5" s="10">
        <v>75</v>
      </c>
      <c r="I5" s="10">
        <v>77</v>
      </c>
      <c r="J5" s="10">
        <v>80</v>
      </c>
      <c r="K5" s="10" t="str">
        <f t="shared" si="1"/>
        <v/>
      </c>
    </row>
    <row r="6" spans="1:11">
      <c r="A6" s="8" t="s">
        <v>20</v>
      </c>
      <c r="B6" s="11">
        <v>3.0000000000000001E-3</v>
      </c>
      <c r="C6" s="12">
        <v>17500</v>
      </c>
      <c r="D6" s="8" t="str">
        <f t="shared" si="0"/>
        <v>통과</v>
      </c>
      <c r="F6" s="10" t="s">
        <v>21</v>
      </c>
      <c r="G6" s="10" t="s">
        <v>22</v>
      </c>
      <c r="H6" s="10">
        <v>63</v>
      </c>
      <c r="I6" s="10">
        <v>60</v>
      </c>
      <c r="J6" s="10">
        <v>40</v>
      </c>
      <c r="K6" s="10" t="str">
        <f t="shared" si="1"/>
        <v/>
      </c>
    </row>
    <row r="7" spans="1:11">
      <c r="A7" s="8" t="s">
        <v>23</v>
      </c>
      <c r="B7" s="11">
        <v>8.9999999999999993E-3</v>
      </c>
      <c r="C7" s="12">
        <v>4780</v>
      </c>
      <c r="D7" s="8" t="str">
        <f t="shared" si="0"/>
        <v>검토</v>
      </c>
      <c r="F7" s="10" t="s">
        <v>24</v>
      </c>
      <c r="G7" s="10" t="s">
        <v>22</v>
      </c>
      <c r="H7" s="10">
        <v>80</v>
      </c>
      <c r="I7" s="10">
        <v>95</v>
      </c>
      <c r="J7" s="10">
        <v>90</v>
      </c>
      <c r="K7" s="10" t="str">
        <f t="shared" si="1"/>
        <v/>
      </c>
    </row>
    <row r="8" spans="1:11">
      <c r="F8" s="10" t="s">
        <v>25</v>
      </c>
      <c r="G8" s="10" t="s">
        <v>22</v>
      </c>
      <c r="H8" s="10">
        <v>90</v>
      </c>
      <c r="I8" s="10">
        <v>85</v>
      </c>
      <c r="J8" s="10">
        <v>85</v>
      </c>
      <c r="K8" s="10" t="str">
        <f t="shared" si="1"/>
        <v>우수</v>
      </c>
    </row>
    <row r="9" spans="1:11">
      <c r="F9" s="10" t="s">
        <v>26</v>
      </c>
      <c r="G9" s="10" t="s">
        <v>15</v>
      </c>
      <c r="H9" s="10">
        <v>78</v>
      </c>
      <c r="I9" s="10">
        <v>65</v>
      </c>
      <c r="J9" s="10">
        <v>85</v>
      </c>
      <c r="K9" s="10" t="str">
        <f t="shared" si="1"/>
        <v/>
      </c>
    </row>
    <row r="10" spans="1:11">
      <c r="A10" s="5"/>
      <c r="B10" s="5"/>
      <c r="C10" s="5"/>
      <c r="D10" s="5"/>
      <c r="E10" s="5"/>
    </row>
    <row r="11" spans="1:11">
      <c r="A11" s="2" t="s">
        <v>27</v>
      </c>
      <c r="B11" s="2"/>
      <c r="C11" s="2"/>
      <c r="D11" s="2"/>
      <c r="E11" s="5"/>
      <c r="F11" s="13" t="s">
        <v>28</v>
      </c>
      <c r="G11" s="14"/>
      <c r="H11" s="14"/>
      <c r="I11" s="14"/>
    </row>
    <row r="12" spans="1:11">
      <c r="A12" s="4" t="s">
        <v>29</v>
      </c>
      <c r="B12" s="4" t="s">
        <v>30</v>
      </c>
      <c r="C12" s="4" t="s">
        <v>31</v>
      </c>
      <c r="D12" s="15" t="s">
        <v>32</v>
      </c>
      <c r="E12" s="5"/>
      <c r="F12" s="16" t="s">
        <v>0</v>
      </c>
      <c r="G12" s="16" t="s">
        <v>33</v>
      </c>
      <c r="H12" s="16" t="s">
        <v>34</v>
      </c>
      <c r="I12" s="17" t="s">
        <v>35</v>
      </c>
      <c r="J12" s="5"/>
    </row>
    <row r="13" spans="1:11" s="3" customFormat="1">
      <c r="A13" s="4" t="s">
        <v>36</v>
      </c>
      <c r="B13" s="18">
        <v>5</v>
      </c>
      <c r="C13" s="19">
        <v>3</v>
      </c>
      <c r="D13" s="20" t="str">
        <f>IF(B13&gt;C13,"상승",IF(B13=C13,"유지","하락"))</f>
        <v>상승</v>
      </c>
      <c r="E13" s="2"/>
      <c r="F13" s="1" t="s">
        <v>37</v>
      </c>
      <c r="G13" s="21">
        <v>2000000</v>
      </c>
      <c r="H13" s="22">
        <v>3</v>
      </c>
      <c r="I13" s="23" cm="1">
        <f t="array" ref="I13">IFERROR(_xlfn.IFS(H13=1,100000,H13=2,200000,H13=3,300000,H13=4,400000),"미기재 오류")</f>
        <v>300000</v>
      </c>
      <c r="J13" s="2"/>
    </row>
    <row r="14" spans="1:11">
      <c r="A14" s="4" t="s">
        <v>38</v>
      </c>
      <c r="B14" s="18">
        <v>15</v>
      </c>
      <c r="C14" s="19">
        <v>20</v>
      </c>
      <c r="D14" s="20" t="str">
        <f t="shared" ref="D14:D19" si="2">IF(B14&gt;C14,"상승",IF(B14=C14,"유지","하락"))</f>
        <v>하락</v>
      </c>
      <c r="E14" s="5"/>
      <c r="F14" s="1" t="s">
        <v>39</v>
      </c>
      <c r="G14" s="21">
        <v>1950000</v>
      </c>
      <c r="H14" s="22">
        <v>4</v>
      </c>
      <c r="I14" s="23" cm="1">
        <f t="array" ref="I14">IFERROR(_xlfn.IFS(H14=1,100000,H14=2,200000,H14=3,300000,H14=4,400000),"미기재 오류")</f>
        <v>400000</v>
      </c>
      <c r="J14" s="5"/>
    </row>
    <row r="15" spans="1:11">
      <c r="A15" s="4" t="s">
        <v>40</v>
      </c>
      <c r="B15" s="18">
        <v>1</v>
      </c>
      <c r="C15" s="19">
        <v>2</v>
      </c>
      <c r="D15" s="20" t="str">
        <f t="shared" si="2"/>
        <v>하락</v>
      </c>
      <c r="E15" s="5"/>
      <c r="F15" s="1" t="s">
        <v>41</v>
      </c>
      <c r="G15" s="21">
        <v>1350000</v>
      </c>
      <c r="H15" s="22">
        <v>1</v>
      </c>
      <c r="I15" s="23" cm="1">
        <f t="array" ref="I15">IFERROR(_xlfn.IFS(H15=1,100000,H15=2,200000,H15=3,300000,H15=4,400000),"미기재 오류")</f>
        <v>100000</v>
      </c>
      <c r="J15" s="5"/>
    </row>
    <row r="16" spans="1:11">
      <c r="A16" s="4" t="s">
        <v>42</v>
      </c>
      <c r="B16" s="18">
        <v>25</v>
      </c>
      <c r="C16" s="19">
        <v>30</v>
      </c>
      <c r="D16" s="20" t="str">
        <f t="shared" si="2"/>
        <v>하락</v>
      </c>
      <c r="E16" s="5"/>
      <c r="F16" s="1" t="s">
        <v>43</v>
      </c>
      <c r="G16" s="21">
        <v>2100000</v>
      </c>
      <c r="H16" s="22"/>
      <c r="I16" s="23" t="str" cm="1">
        <f t="array" ref="I16">IFERROR(_xlfn.IFS(H16=1,100000,H16=2,200000,H16=3,300000,H16=4,400000),"미기재 오류")</f>
        <v>미기재 오류</v>
      </c>
      <c r="J16" s="5"/>
    </row>
    <row r="17" spans="1:10">
      <c r="A17" s="4" t="s">
        <v>44</v>
      </c>
      <c r="B17" s="18">
        <v>8</v>
      </c>
      <c r="C17" s="19">
        <v>4</v>
      </c>
      <c r="D17" s="20" t="str">
        <f t="shared" si="2"/>
        <v>상승</v>
      </c>
      <c r="E17" s="5"/>
      <c r="F17" s="1" t="s">
        <v>45</v>
      </c>
      <c r="G17" s="21">
        <v>1800000</v>
      </c>
      <c r="H17" s="22">
        <v>2</v>
      </c>
      <c r="I17" s="23" cm="1">
        <f t="array" ref="I17">IFERROR(_xlfn.IFS(H17=1,100000,H17=2,200000,H17=3,300000,H17=4,400000),"미기재 오류")</f>
        <v>200000</v>
      </c>
      <c r="J17" s="5"/>
    </row>
    <row r="18" spans="1:10">
      <c r="A18" s="4" t="s">
        <v>46</v>
      </c>
      <c r="B18" s="18">
        <v>4</v>
      </c>
      <c r="C18" s="19">
        <v>4</v>
      </c>
      <c r="D18" s="20" t="str">
        <f t="shared" si="2"/>
        <v>유지</v>
      </c>
      <c r="E18" s="5"/>
      <c r="F18" s="1" t="s">
        <v>47</v>
      </c>
      <c r="G18" s="21">
        <v>1100000</v>
      </c>
      <c r="H18" s="22"/>
      <c r="I18" s="23" t="str" cm="1">
        <f t="array" ref="I18">IFERROR(_xlfn.IFS(H18=1,100000,H18=2,200000,H18=3,300000,H18=4,400000),"미기재 오류")</f>
        <v>미기재 오류</v>
      </c>
      <c r="J18" s="5"/>
    </row>
    <row r="19" spans="1:10">
      <c r="A19" s="4" t="s">
        <v>48</v>
      </c>
      <c r="B19" s="18">
        <v>10</v>
      </c>
      <c r="C19" s="19">
        <v>5</v>
      </c>
      <c r="D19" s="24" t="str">
        <f t="shared" si="2"/>
        <v>상승</v>
      </c>
      <c r="E19" s="5"/>
      <c r="F19" s="1" t="s">
        <v>49</v>
      </c>
      <c r="G19" s="21">
        <v>1450000</v>
      </c>
      <c r="H19" s="22">
        <v>3</v>
      </c>
      <c r="I19" s="23" cm="1">
        <f t="array" ref="I19">IFERROR(_xlfn.IFS(H19=1,100000,H19=2,200000,H19=3,300000,H19=4,400000),"미기재 오류")</f>
        <v>300000</v>
      </c>
      <c r="J19" s="5"/>
    </row>
    <row r="20" spans="1:10">
      <c r="A20" s="5"/>
      <c r="B20" s="5"/>
      <c r="C20" s="5"/>
      <c r="D20" s="5"/>
      <c r="E20" s="5"/>
      <c r="F20" s="1" t="s">
        <v>50</v>
      </c>
      <c r="G20" s="21">
        <v>1850000</v>
      </c>
      <c r="H20" s="22"/>
      <c r="I20" s="23" t="str" cm="1">
        <f t="array" ref="I20">IFERROR(_xlfn.IFS(H20=1,100000,H20=2,200000,H20=3,300000,H20=4,400000),"미기재 오류")</f>
        <v>미기재 오류</v>
      </c>
      <c r="J20" s="5"/>
    </row>
    <row r="22" spans="1:10">
      <c r="A22" s="2" t="s">
        <v>56</v>
      </c>
      <c r="B22" s="2"/>
      <c r="C22" s="2"/>
      <c r="D22" s="2"/>
    </row>
    <row r="23" spans="1:10">
      <c r="A23" s="1" t="s">
        <v>52</v>
      </c>
      <c r="B23" s="4" t="s">
        <v>57</v>
      </c>
      <c r="C23" s="4" t="s">
        <v>51</v>
      </c>
      <c r="D23" s="15" t="s">
        <v>55</v>
      </c>
    </row>
    <row r="24" spans="1:10">
      <c r="A24" s="1" t="s">
        <v>54</v>
      </c>
      <c r="B24" s="4" t="s">
        <v>58</v>
      </c>
      <c r="C24" s="18">
        <v>1</v>
      </c>
      <c r="D24" s="20" t="str" cm="1">
        <f t="array" ref="D24">_xlfn.SWITCH(C24,1,"열림",0,"닫힘","미점검")</f>
        <v>열림</v>
      </c>
    </row>
    <row r="25" spans="1:10">
      <c r="A25" s="1" t="s">
        <v>63</v>
      </c>
      <c r="B25" s="4" t="s">
        <v>59</v>
      </c>
      <c r="C25" s="18">
        <v>0</v>
      </c>
      <c r="D25" s="20" t="str" cm="1">
        <f t="array" ref="D25">_xlfn.SWITCH(C25,1,"열림",0,"닫힘","미점검")</f>
        <v>닫힘</v>
      </c>
    </row>
    <row r="26" spans="1:10">
      <c r="A26" s="1" t="s">
        <v>65</v>
      </c>
      <c r="B26" s="4" t="s">
        <v>60</v>
      </c>
      <c r="C26" s="18">
        <v>1</v>
      </c>
      <c r="D26" s="20" t="str" cm="1">
        <f t="array" ref="D26">_xlfn.SWITCH(C26,1,"열림",0,"닫힘","미점검")</f>
        <v>열림</v>
      </c>
    </row>
    <row r="27" spans="1:10">
      <c r="A27" s="1" t="s">
        <v>64</v>
      </c>
      <c r="B27" s="4" t="s">
        <v>61</v>
      </c>
      <c r="C27" s="18">
        <v>0</v>
      </c>
      <c r="D27" s="20" t="str" cm="1">
        <f t="array" ref="D27">_xlfn.SWITCH(C27,1,"열림",0,"닫힘","미점검")</f>
        <v>닫힘</v>
      </c>
    </row>
    <row r="28" spans="1:10">
      <c r="A28" s="1" t="s">
        <v>53</v>
      </c>
      <c r="B28" s="4" t="s">
        <v>62</v>
      </c>
      <c r="C28" s="18">
        <v>2</v>
      </c>
      <c r="D28" s="20" t="str" cm="1">
        <f t="array" ref="D28">_xlfn.SWITCH(C28,1,"열림",0,"닫힘","미점검")</f>
        <v>미점검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sw</cp:lastModifiedBy>
  <cp:lastPrinted>2020-10-28T05:41:21Z</cp:lastPrinted>
  <dcterms:created xsi:type="dcterms:W3CDTF">2020-10-28T04:59:21Z</dcterms:created>
  <dcterms:modified xsi:type="dcterms:W3CDTF">2023-07-16T17:03:19Z</dcterms:modified>
</cp:coreProperties>
</file>