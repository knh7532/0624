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데이터표-1" sheetId="15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5" l="1"/>
  <c r="F4" i="15" s="1"/>
</calcChain>
</file>

<file path=xl/sharedStrings.xml><?xml version="1.0" encoding="utf-8"?>
<sst xmlns="http://schemas.openxmlformats.org/spreadsheetml/2006/main" count="6" uniqueCount="4">
  <si>
    <t>대출원금</t>
    <phoneticPr fontId="2" type="noConversion"/>
  </si>
  <si>
    <t>상환기간</t>
    <phoneticPr fontId="2" type="noConversion"/>
  </si>
  <si>
    <t>연이율</t>
    <phoneticPr fontId="2" type="noConversion"/>
  </si>
  <si>
    <t>월납부액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</si>
</sst>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41" formatCode="_-* #,##0_-;\-* #,##0_-;_-* &quot;-&quot;_-;_-@_-"/>
    <numFmt numFmtId="180" formatCode="0.0%"/>
    <numFmt numFmtId="181" formatCode="##&quot;개&quot;&quot;월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6" fillId="2" borderId="1" xfId="0" applyFont="1" applyFill="1" applyBorder="1" applyAlignment="1">
      <alignment vertical="center"/>
    </xf>
    <xf numFmtId="41" fontId="0" fillId="0" borderId="1" xfId="3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180" fontId="0" fillId="0" borderId="1" xfId="0" applyNumberFormat="1" applyFont="1" applyBorder="1" applyAlignment="1">
      <alignment vertical="center"/>
    </xf>
    <xf numFmtId="42" fontId="0" fillId="0" borderId="1" xfId="4" applyFont="1" applyBorder="1" applyAlignment="1">
      <alignment vertical="center"/>
    </xf>
    <xf numFmtId="181" fontId="0" fillId="0" borderId="1" xfId="0" applyNumberFormat="1" applyFont="1" applyBorder="1" applyAlignment="1">
      <alignment horizontal="center" vertical="center"/>
    </xf>
    <xf numFmtId="181" fontId="0" fillId="0" borderId="1" xfId="0" applyNumberFormat="1" applyFont="1" applyBorder="1" applyAlignment="1">
      <alignment vertical="center"/>
    </xf>
    <xf numFmtId="9" fontId="0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textRotation="255"/>
    </xf>
  </cellXfs>
  <cellStyles count="5"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16"/>
  <sheetViews>
    <sheetView tabSelected="1" workbookViewId="0">
      <selection activeCell="A3" sqref="A3"/>
    </sheetView>
  </sheetViews>
  <sheetFormatPr defaultRowHeight="16.5" x14ac:dyDescent="0.3"/>
  <cols>
    <col min="1" max="1" width="3.625" customWidth="1"/>
    <col min="3" max="3" width="12.75" bestFit="1" customWidth="1"/>
    <col min="6" max="6" width="12.25" bestFit="1" customWidth="1"/>
    <col min="7" max="12" width="10.75" bestFit="1" customWidth="1"/>
  </cols>
  <sheetData>
    <row r="3" spans="2:12" s="4" customFormat="1" x14ac:dyDescent="0.3">
      <c r="B3" s="1" t="s">
        <v>0</v>
      </c>
      <c r="C3" s="2">
        <v>100000000</v>
      </c>
      <c r="D3" s="3"/>
      <c r="E3" s="3"/>
      <c r="F3" s="10" t="s">
        <v>1</v>
      </c>
      <c r="G3" s="11"/>
      <c r="H3" s="11"/>
      <c r="I3" s="11"/>
      <c r="J3" s="11"/>
      <c r="K3" s="11"/>
      <c r="L3" s="12"/>
    </row>
    <row r="4" spans="2:12" s="4" customFormat="1" x14ac:dyDescent="0.3">
      <c r="B4" s="1" t="s">
        <v>2</v>
      </c>
      <c r="C4" s="5">
        <v>0.1</v>
      </c>
      <c r="D4" s="3"/>
      <c r="E4" s="3"/>
      <c r="F4" s="6">
        <f>C6</f>
        <v>2124704.4711268274</v>
      </c>
      <c r="G4" s="7">
        <v>12</v>
      </c>
      <c r="H4" s="7">
        <v>24</v>
      </c>
      <c r="I4" s="7">
        <v>36</v>
      </c>
      <c r="J4" s="7">
        <v>48</v>
      </c>
      <c r="K4" s="7">
        <v>72</v>
      </c>
      <c r="L4" s="7">
        <v>84</v>
      </c>
    </row>
    <row r="5" spans="2:12" s="4" customFormat="1" x14ac:dyDescent="0.3">
      <c r="B5" s="1" t="s">
        <v>1</v>
      </c>
      <c r="C5" s="8">
        <v>60</v>
      </c>
      <c r="D5" s="3"/>
      <c r="E5" s="13" t="s">
        <v>2</v>
      </c>
      <c r="F5" s="9">
        <v>0.03</v>
      </c>
      <c r="G5" s="2">
        <f t="dataTable" ref="G5:L10" dt2D="1" dtr="1" r1="C5" r2="C4"/>
        <v>8469369.8758488949</v>
      </c>
      <c r="H5" s="2">
        <v>4298121.1979556102</v>
      </c>
      <c r="I5" s="2">
        <v>2908120.9630652331</v>
      </c>
      <c r="J5" s="2">
        <v>2213432.6989311515</v>
      </c>
      <c r="K5" s="2">
        <v>1519367.581943874</v>
      </c>
      <c r="L5" s="2">
        <v>1321330.0065461774</v>
      </c>
    </row>
    <row r="6" spans="2:12" s="4" customFormat="1" x14ac:dyDescent="0.3">
      <c r="B6" s="1" t="s">
        <v>3</v>
      </c>
      <c r="C6" s="6">
        <f>PMT($C$4/12,$C$5,-$C$3)</f>
        <v>2124704.4711268274</v>
      </c>
      <c r="D6" s="3"/>
      <c r="E6" s="13"/>
      <c r="F6" s="9">
        <v>0.05</v>
      </c>
      <c r="G6" s="2">
        <v>8560748.1788467132</v>
      </c>
      <c r="H6" s="2">
        <v>4387138.9734068438</v>
      </c>
      <c r="I6" s="2">
        <v>2997089.7104665479</v>
      </c>
      <c r="J6" s="2">
        <v>2302929.3570646518</v>
      </c>
      <c r="K6" s="2">
        <v>1610493.2661450929</v>
      </c>
      <c r="L6" s="2">
        <v>1413390.907190701</v>
      </c>
    </row>
    <row r="7" spans="2:12" s="4" customFormat="1" x14ac:dyDescent="0.3">
      <c r="B7" s="3"/>
      <c r="C7" s="3"/>
      <c r="D7" s="3"/>
      <c r="E7" s="13"/>
      <c r="F7" s="9">
        <v>0.1</v>
      </c>
      <c r="G7" s="2">
        <v>8791588.7230009586</v>
      </c>
      <c r="H7" s="2">
        <v>4614492.6337516503</v>
      </c>
      <c r="I7" s="2">
        <v>3226718.7193837482</v>
      </c>
      <c r="J7" s="2">
        <v>2536258.3434747187</v>
      </c>
      <c r="K7" s="2">
        <v>1852583.7775770477</v>
      </c>
      <c r="L7" s="2">
        <v>1660118.4026885906</v>
      </c>
    </row>
    <row r="8" spans="2:12" s="4" customFormat="1" x14ac:dyDescent="0.3">
      <c r="B8" s="3"/>
      <c r="C8" s="3"/>
      <c r="D8" s="3"/>
      <c r="E8" s="13"/>
      <c r="F8" s="9">
        <v>0.15</v>
      </c>
      <c r="G8" s="2">
        <v>9025831.234515693</v>
      </c>
      <c r="H8" s="2">
        <v>4848664.8046951015</v>
      </c>
      <c r="I8" s="2">
        <v>3466532.8504194128</v>
      </c>
      <c r="J8" s="2">
        <v>2783074.8266476248</v>
      </c>
      <c r="K8" s="2">
        <v>2114501.3335431335</v>
      </c>
      <c r="L8" s="2">
        <v>1929675.4735381498</v>
      </c>
    </row>
    <row r="9" spans="2:12" s="4" customFormat="1" x14ac:dyDescent="0.3">
      <c r="E9" s="13"/>
      <c r="F9" s="9">
        <v>0.2</v>
      </c>
      <c r="G9" s="2">
        <v>9263450.5897080023</v>
      </c>
      <c r="H9" s="2">
        <v>5089580.2643238893</v>
      </c>
      <c r="I9" s="2">
        <v>3716358.3359740451</v>
      </c>
      <c r="J9" s="2">
        <v>3043036.2343857992</v>
      </c>
      <c r="K9" s="2">
        <v>2395282.6057202541</v>
      </c>
      <c r="L9" s="2">
        <v>2220619.929081542</v>
      </c>
    </row>
    <row r="10" spans="2:12" s="4" customFormat="1" x14ac:dyDescent="0.3">
      <c r="E10" s="13"/>
      <c r="F10" s="9">
        <v>0.25</v>
      </c>
      <c r="G10" s="2">
        <v>9504420.3263909258</v>
      </c>
      <c r="H10" s="2">
        <v>5337152.0295237042</v>
      </c>
      <c r="I10" s="2">
        <v>3975982.5901255524</v>
      </c>
      <c r="J10" s="2">
        <v>3315712.8217174001</v>
      </c>
      <c r="K10" s="2">
        <v>2693717.7129766876</v>
      </c>
      <c r="L10" s="2">
        <v>2531163.5892980867</v>
      </c>
    </row>
    <row r="11" spans="2:12" s="4" customFormat="1" x14ac:dyDescent="0.3"/>
    <row r="12" spans="2:12" s="4" customFormat="1" x14ac:dyDescent="0.3"/>
    <row r="13" spans="2:12" s="4" customFormat="1" x14ac:dyDescent="0.3"/>
    <row r="14" spans="2:12" s="4" customFormat="1" x14ac:dyDescent="0.3"/>
    <row r="15" spans="2:12" s="4" customFormat="1" x14ac:dyDescent="0.3"/>
    <row r="16" spans="2:12" s="4" customFormat="1" x14ac:dyDescent="0.3"/>
  </sheetData>
  <mergeCells count="2">
    <mergeCell ref="F3:L3"/>
    <mergeCell ref="E5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데이터표-1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2020-10-28T07:01:29Z</dcterms:modified>
</cp:coreProperties>
</file>