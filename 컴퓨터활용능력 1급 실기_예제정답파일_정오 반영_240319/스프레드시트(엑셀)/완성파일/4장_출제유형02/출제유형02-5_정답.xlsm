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시나리오 요약" sheetId="17" r:id="rId1"/>
    <sheet name="시나리오-1" sheetId="18" r:id="rId2"/>
  </sheets>
  <definedNames>
    <definedName name="불량률">#REF!</definedName>
    <definedName name="순이익률">'시나리오-1'!$H$17</definedName>
    <definedName name="순이익합계">'시나리오-1'!$H$15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8" l="1"/>
  <c r="F15" i="18"/>
  <c r="E15" i="18"/>
  <c r="D15" i="18"/>
  <c r="F14" i="18"/>
  <c r="H14" i="18" s="1"/>
  <c r="H13" i="18"/>
  <c r="F13" i="18"/>
  <c r="F12" i="18"/>
  <c r="H12" i="18" s="1"/>
  <c r="H11" i="18"/>
  <c r="F11" i="18"/>
  <c r="F10" i="18"/>
  <c r="H10" i="18" s="1"/>
  <c r="H9" i="18"/>
  <c r="F9" i="18"/>
  <c r="F8" i="18"/>
  <c r="H8" i="18" s="1"/>
  <c r="H7" i="18"/>
  <c r="F7" i="18"/>
  <c r="F6" i="18"/>
  <c r="H6" i="18" s="1"/>
  <c r="H5" i="18"/>
  <c r="F5" i="18"/>
  <c r="H15" i="18" l="1"/>
</calcChain>
</file>

<file path=xl/sharedStrings.xml><?xml version="1.0" encoding="utf-8"?>
<sst xmlns="http://schemas.openxmlformats.org/spreadsheetml/2006/main" count="34" uniqueCount="33">
  <si>
    <t>순이익</t>
  </si>
  <si>
    <t>시나리오 요약</t>
  </si>
  <si>
    <t>현재 값:</t>
  </si>
  <si>
    <t>순이익 인상</t>
  </si>
  <si>
    <t>순이익 인하</t>
  </si>
  <si>
    <t>변경 셀:</t>
  </si>
  <si>
    <t>순이익율</t>
  </si>
  <si>
    <t>결과 셀:</t>
  </si>
  <si>
    <t>순이익합계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</si>
  <si>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</si>
  <si>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</si>
  <si>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</si>
  <si>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혼수품목 매출 현황</t>
    <phoneticPr fontId="2" type="noConversion"/>
  </si>
  <si>
    <t>(단위:만원)</t>
    <phoneticPr fontId="2" type="noConversion"/>
  </si>
  <si>
    <t>상품명</t>
  </si>
  <si>
    <t>판매액</t>
  </si>
  <si>
    <t>목표액</t>
  </si>
  <si>
    <t>전반기</t>
    <phoneticPr fontId="2" type="noConversion"/>
  </si>
  <si>
    <t>후반기</t>
    <phoneticPr fontId="2" type="noConversion"/>
  </si>
  <si>
    <t>합계</t>
  </si>
  <si>
    <t>가전류</t>
    <phoneticPr fontId="2" type="noConversion"/>
  </si>
  <si>
    <t>TV</t>
  </si>
  <si>
    <t>냉장고</t>
  </si>
  <si>
    <t>세탁기</t>
  </si>
  <si>
    <t>홈시어터</t>
    <phoneticPr fontId="2" type="noConversion"/>
  </si>
  <si>
    <t>김치냉장고</t>
  </si>
  <si>
    <t>식기세척기</t>
  </si>
  <si>
    <t>가구류</t>
    <phoneticPr fontId="2" type="noConversion"/>
  </si>
  <si>
    <t>장롱</t>
    <phoneticPr fontId="2" type="noConversion"/>
  </si>
  <si>
    <t>소파</t>
  </si>
  <si>
    <t>식탁</t>
    <phoneticPr fontId="2" type="noConversion"/>
  </si>
  <si>
    <t>침대</t>
  </si>
  <si>
    <t>순이익률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</si>
</sst>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7" fillId="2" borderId="5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10" fillId="0" borderId="0" xfId="0" applyFont="1" applyFill="1" applyBorder="1" applyAlignment="1">
      <alignment vertical="top" wrapText="1"/>
    </xf>
    <xf numFmtId="0" fontId="11" fillId="3" borderId="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9" fontId="0" fillId="4" borderId="0" xfId="0" applyNumberFormat="1" applyFill="1" applyBorder="1" applyAlignment="1">
      <alignment vertical="center"/>
    </xf>
    <xf numFmtId="0" fontId="9" fillId="3" borderId="7" xfId="0" applyFont="1" applyFill="1" applyBorder="1" applyAlignment="1">
      <alignment horizontal="left" vertical="center"/>
    </xf>
    <xf numFmtId="41" fontId="0" fillId="0" borderId="7" xfId="0" applyNumberFormat="1" applyFill="1" applyBorder="1" applyAlignment="1">
      <alignment vertical="center"/>
    </xf>
    <xf numFmtId="0" fontId="5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/>
    <xf numFmtId="41" fontId="5" fillId="0" borderId="1" xfId="3" applyFont="1" applyBorder="1" applyAlignment="1"/>
    <xf numFmtId="9" fontId="5" fillId="0" borderId="1" xfId="0" applyNumberFormat="1" applyFont="1" applyBorder="1" applyAlignment="1"/>
    <xf numFmtId="0" fontId="5" fillId="0" borderId="1" xfId="0" applyFont="1" applyBorder="1" applyAlignment="1">
      <alignment vertical="center" textRotation="255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1"/>
  <sheetViews>
    <sheetView showGridLines="0" tabSelected="1" workbookViewId="0">
      <selection activeCell="A3" sqref="A3"/>
    </sheetView>
  </sheetViews>
  <sheetFormatPr defaultRowHeight="16.5" outlineLevelRow="1" outlineLevelCol="1" x14ac:dyDescent="0.3"/>
  <cols>
    <col min="3" max="3" width="10.375" bestFit="1" customWidth="1"/>
    <col min="4" max="6" width="11.125" bestFit="1" customWidth="1" outlineLevel="1"/>
  </cols>
  <sheetData>
    <row r="1" spans="2:6" ht="17.25" thickBot="1" x14ac:dyDescent="0.35"/>
    <row r="2" spans="2:6" x14ac:dyDescent="0.3">
      <c r="B2" s="1" t="s">
        <v>1</v>
      </c>
      <c r="C2" s="2"/>
      <c r="D2" s="3"/>
      <c r="E2" s="3"/>
      <c r="F2" s="3"/>
    </row>
    <row r="3" spans="2:6" collapsed="1" x14ac:dyDescent="0.3">
      <c r="B3" s="4"/>
      <c r="C3" s="4"/>
      <c r="D3" s="5" t="s">
        <v>2</v>
      </c>
      <c r="E3" s="5" t="s">
        <v>3</v>
      </c>
      <c r="F3" s="5" t="s">
        <v>4</v>
      </c>
    </row>
    <row r="4" spans="2:6" hidden="1" outlineLevel="1" x14ac:dyDescent="0.3">
      <c r="B4" s="6"/>
      <c r="C4" s="6"/>
      <c r="D4" s="7"/>
      <c r="E4" s="8"/>
      <c r="F4" s="8"/>
    </row>
    <row r="5" spans="2:6" x14ac:dyDescent="0.3">
      <c r="B5" s="9" t="s">
        <v>5</v>
      </c>
      <c r="C5" s="10"/>
      <c r="D5" s="11"/>
      <c r="E5" s="11"/>
      <c r="F5" s="11"/>
    </row>
    <row r="6" spans="2:6" outlineLevel="1" x14ac:dyDescent="0.3">
      <c r="B6" s="6"/>
      <c r="C6" s="6" t="s">
        <v>6</v>
      </c>
      <c r="D6" s="12">
        <v>0.25</v>
      </c>
      <c r="E6" s="13">
        <v>0.3</v>
      </c>
      <c r="F6" s="13">
        <v>0.2</v>
      </c>
    </row>
    <row r="7" spans="2:6" x14ac:dyDescent="0.3">
      <c r="B7" s="9" t="s">
        <v>7</v>
      </c>
      <c r="C7" s="10"/>
      <c r="D7" s="11"/>
      <c r="E7" s="11"/>
      <c r="F7" s="11"/>
    </row>
    <row r="8" spans="2:6" ht="17.25" outlineLevel="1" thickBot="1" x14ac:dyDescent="0.35">
      <c r="B8" s="14"/>
      <c r="C8" s="14" t="s">
        <v>8</v>
      </c>
      <c r="D8" s="15">
        <v>10880</v>
      </c>
      <c r="E8" s="15">
        <v>13056</v>
      </c>
      <c r="F8" s="15">
        <v>8704</v>
      </c>
    </row>
    <row r="9" spans="2:6" x14ac:dyDescent="0.3">
      <c r="B9" t="s">
        <v>9</v>
      </c>
    </row>
    <row r="10" spans="2:6" x14ac:dyDescent="0.3">
      <c r="B10" t="s">
        <v>10</v>
      </c>
    </row>
    <row r="11" spans="2:6" x14ac:dyDescent="0.3">
      <c r="B11" t="s">
        <v>11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>
      <selection activeCell="A3" sqref="A3"/>
    </sheetView>
  </sheetViews>
  <sheetFormatPr defaultRowHeight="16.5" x14ac:dyDescent="0.3"/>
  <cols>
    <col min="1" max="1" width="2.875" customWidth="1"/>
    <col min="2" max="2" width="6.75" customWidth="1"/>
    <col min="3" max="3" width="10.375" bestFit="1" customWidth="1"/>
    <col min="8" max="8" width="10" bestFit="1" customWidth="1"/>
  </cols>
  <sheetData>
    <row r="1" spans="1:8" ht="26.25" x14ac:dyDescent="0.3">
      <c r="A1" s="16"/>
      <c r="B1" s="25" t="s">
        <v>12</v>
      </c>
      <c r="C1" s="25"/>
      <c r="D1" s="25"/>
      <c r="E1" s="25"/>
      <c r="F1" s="25"/>
      <c r="G1" s="25"/>
      <c r="H1" s="25"/>
    </row>
    <row r="2" spans="1:8" x14ac:dyDescent="0.3">
      <c r="A2" s="16"/>
      <c r="B2" s="16"/>
      <c r="C2" s="16"/>
      <c r="D2" s="16"/>
      <c r="E2" s="16"/>
      <c r="F2" s="16"/>
      <c r="G2" s="16"/>
      <c r="H2" s="16" t="s">
        <v>13</v>
      </c>
    </row>
    <row r="3" spans="1:8" x14ac:dyDescent="0.3">
      <c r="A3" s="16"/>
      <c r="B3" s="26" t="s">
        <v>14</v>
      </c>
      <c r="C3" s="26"/>
      <c r="D3" s="22" t="s">
        <v>15</v>
      </c>
      <c r="E3" s="22"/>
      <c r="F3" s="22"/>
      <c r="G3" s="26" t="s">
        <v>16</v>
      </c>
      <c r="H3" s="26" t="s">
        <v>0</v>
      </c>
    </row>
    <row r="4" spans="1:8" x14ac:dyDescent="0.3">
      <c r="A4" s="16"/>
      <c r="B4" s="26"/>
      <c r="C4" s="26"/>
      <c r="D4" s="17" t="s">
        <v>17</v>
      </c>
      <c r="E4" s="17" t="s">
        <v>18</v>
      </c>
      <c r="F4" s="17" t="s">
        <v>19</v>
      </c>
      <c r="G4" s="26"/>
      <c r="H4" s="26"/>
    </row>
    <row r="5" spans="1:8" x14ac:dyDescent="0.3">
      <c r="A5" s="16"/>
      <c r="B5" s="21" t="s">
        <v>20</v>
      </c>
      <c r="C5" s="18" t="s">
        <v>21</v>
      </c>
      <c r="D5" s="19">
        <v>3000</v>
      </c>
      <c r="E5" s="19">
        <v>3200</v>
      </c>
      <c r="F5" s="19">
        <f t="shared" ref="F5:F15" si="0">SUM(D5:E5)</f>
        <v>6200</v>
      </c>
      <c r="G5" s="19">
        <v>6400</v>
      </c>
      <c r="H5" s="19">
        <f t="shared" ref="H5:H14" si="1">F5*$H$17</f>
        <v>1550</v>
      </c>
    </row>
    <row r="6" spans="1:8" x14ac:dyDescent="0.3">
      <c r="A6" s="16"/>
      <c r="B6" s="21"/>
      <c r="C6" s="18" t="s">
        <v>22</v>
      </c>
      <c r="D6" s="19">
        <v>2000</v>
      </c>
      <c r="E6" s="19">
        <v>3400</v>
      </c>
      <c r="F6" s="19">
        <f t="shared" si="0"/>
        <v>5400</v>
      </c>
      <c r="G6" s="19">
        <v>5500</v>
      </c>
      <c r="H6" s="19">
        <f t="shared" si="1"/>
        <v>1350</v>
      </c>
    </row>
    <row r="7" spans="1:8" x14ac:dyDescent="0.3">
      <c r="A7" s="16"/>
      <c r="B7" s="21"/>
      <c r="C7" s="18" t="s">
        <v>23</v>
      </c>
      <c r="D7" s="19">
        <v>2000</v>
      </c>
      <c r="E7" s="19">
        <v>3400</v>
      </c>
      <c r="F7" s="19">
        <f t="shared" si="0"/>
        <v>5400</v>
      </c>
      <c r="G7" s="19">
        <v>3000</v>
      </c>
      <c r="H7" s="19">
        <f t="shared" si="1"/>
        <v>1350</v>
      </c>
    </row>
    <row r="8" spans="1:8" x14ac:dyDescent="0.3">
      <c r="A8" s="16"/>
      <c r="B8" s="21"/>
      <c r="C8" s="18" t="s">
        <v>24</v>
      </c>
      <c r="D8" s="19">
        <v>3800</v>
      </c>
      <c r="E8" s="19">
        <v>2000</v>
      </c>
      <c r="F8" s="19">
        <f t="shared" si="0"/>
        <v>5800</v>
      </c>
      <c r="G8" s="19">
        <v>6500</v>
      </c>
      <c r="H8" s="19">
        <f t="shared" si="1"/>
        <v>1450</v>
      </c>
    </row>
    <row r="9" spans="1:8" x14ac:dyDescent="0.3">
      <c r="A9" s="16"/>
      <c r="B9" s="21"/>
      <c r="C9" s="18" t="s">
        <v>25</v>
      </c>
      <c r="D9" s="19">
        <v>1200</v>
      </c>
      <c r="E9" s="19">
        <v>3800</v>
      </c>
      <c r="F9" s="19">
        <f t="shared" si="0"/>
        <v>5000</v>
      </c>
      <c r="G9" s="19">
        <v>4500</v>
      </c>
      <c r="H9" s="19">
        <f t="shared" si="1"/>
        <v>1250</v>
      </c>
    </row>
    <row r="10" spans="1:8" x14ac:dyDescent="0.3">
      <c r="A10" s="16"/>
      <c r="B10" s="21"/>
      <c r="C10" s="18" t="s">
        <v>26</v>
      </c>
      <c r="D10" s="19">
        <v>900</v>
      </c>
      <c r="E10" s="19">
        <v>1500</v>
      </c>
      <c r="F10" s="19">
        <f t="shared" si="0"/>
        <v>2400</v>
      </c>
      <c r="G10" s="19">
        <v>3500</v>
      </c>
      <c r="H10" s="19">
        <f t="shared" si="1"/>
        <v>600</v>
      </c>
    </row>
    <row r="11" spans="1:8" x14ac:dyDescent="0.3">
      <c r="A11" s="16"/>
      <c r="B11" s="21" t="s">
        <v>27</v>
      </c>
      <c r="C11" s="18" t="s">
        <v>28</v>
      </c>
      <c r="D11" s="19">
        <v>3200</v>
      </c>
      <c r="E11" s="19">
        <v>3000</v>
      </c>
      <c r="F11" s="19">
        <f t="shared" si="0"/>
        <v>6200</v>
      </c>
      <c r="G11" s="19">
        <v>5800</v>
      </c>
      <c r="H11" s="19">
        <f t="shared" si="1"/>
        <v>1550</v>
      </c>
    </row>
    <row r="12" spans="1:8" x14ac:dyDescent="0.3">
      <c r="A12" s="16"/>
      <c r="B12" s="21"/>
      <c r="C12" s="18" t="s">
        <v>29</v>
      </c>
      <c r="D12" s="19">
        <v>1000</v>
      </c>
      <c r="E12" s="19">
        <v>1500</v>
      </c>
      <c r="F12" s="19">
        <f t="shared" si="0"/>
        <v>2500</v>
      </c>
      <c r="G12" s="19">
        <v>2200</v>
      </c>
      <c r="H12" s="19">
        <f t="shared" si="1"/>
        <v>625</v>
      </c>
    </row>
    <row r="13" spans="1:8" x14ac:dyDescent="0.3">
      <c r="A13" s="16"/>
      <c r="B13" s="21"/>
      <c r="C13" s="18" t="s">
        <v>30</v>
      </c>
      <c r="D13" s="19">
        <v>560</v>
      </c>
      <c r="E13" s="19">
        <v>460</v>
      </c>
      <c r="F13" s="19">
        <f t="shared" si="0"/>
        <v>1020</v>
      </c>
      <c r="G13" s="19">
        <v>1200</v>
      </c>
      <c r="H13" s="19">
        <f t="shared" si="1"/>
        <v>255</v>
      </c>
    </row>
    <row r="14" spans="1:8" x14ac:dyDescent="0.3">
      <c r="A14" s="16"/>
      <c r="B14" s="21"/>
      <c r="C14" s="18" t="s">
        <v>31</v>
      </c>
      <c r="D14" s="19">
        <v>1200</v>
      </c>
      <c r="E14" s="19">
        <v>2400</v>
      </c>
      <c r="F14" s="19">
        <f t="shared" si="0"/>
        <v>3600</v>
      </c>
      <c r="G14" s="19">
        <v>3500</v>
      </c>
      <c r="H14" s="19">
        <f t="shared" si="1"/>
        <v>900</v>
      </c>
    </row>
    <row r="15" spans="1:8" x14ac:dyDescent="0.3">
      <c r="A15" s="16"/>
      <c r="B15" s="22" t="s">
        <v>19</v>
      </c>
      <c r="C15" s="22"/>
      <c r="D15" s="19">
        <f>SUM(D5:D14)</f>
        <v>18860</v>
      </c>
      <c r="E15" s="19">
        <f>SUM(E5:E14)</f>
        <v>24660</v>
      </c>
      <c r="F15" s="19">
        <f t="shared" si="0"/>
        <v>43520</v>
      </c>
      <c r="G15" s="19">
        <f>SUM(G5:G14)</f>
        <v>42100</v>
      </c>
      <c r="H15" s="19">
        <f>SUM(H5:H14)</f>
        <v>10880</v>
      </c>
    </row>
    <row r="16" spans="1:8" x14ac:dyDescent="0.3">
      <c r="A16" s="16"/>
      <c r="B16" s="16"/>
      <c r="C16" s="16"/>
      <c r="D16" s="16"/>
      <c r="E16" s="16"/>
      <c r="F16" s="16"/>
      <c r="G16" s="16"/>
      <c r="H16" s="16"/>
    </row>
    <row r="17" spans="1:8" x14ac:dyDescent="0.3">
      <c r="A17" s="16"/>
      <c r="B17" s="16"/>
      <c r="C17" s="16"/>
      <c r="D17" s="16"/>
      <c r="E17" s="16"/>
      <c r="F17" s="23" t="s">
        <v>32</v>
      </c>
      <c r="G17" s="24"/>
      <c r="H17" s="20">
        <v>0.25</v>
      </c>
    </row>
    <row r="18" spans="1:8" x14ac:dyDescent="0.3">
      <c r="A18" s="16"/>
      <c r="B18" s="16"/>
      <c r="C18" s="16"/>
      <c r="D18" s="16"/>
      <c r="E18" s="16"/>
      <c r="F18" s="16"/>
      <c r="G18" s="16"/>
      <c r="H18" s="16"/>
    </row>
  </sheetData>
  <scenarios current="1" sqref="H15">
    <scenario name="순이익 인상" locked="1" count="1" user="Owner">
      <inputCells r="H17" val="0.3" numFmtId="9"/>
    </scenario>
    <scenario name="순이익 인하" locked="1" count="1" user="Owner">
      <inputCells r="H17" val="0.2" numFmtId="9"/>
    </scenario>
  </scenarios>
  <mergeCells count="9">
    <mergeCell ref="B11:B14"/>
    <mergeCell ref="B15:C15"/>
    <mergeCell ref="F17:G17"/>
    <mergeCell ref="B1:H1"/>
    <mergeCell ref="B3:C4"/>
    <mergeCell ref="D3:F3"/>
    <mergeCell ref="G3:G4"/>
    <mergeCell ref="H3:H4"/>
    <mergeCell ref="B5:B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시나리오 요약</vt:lpstr>
      <vt:lpstr>시나리오-1</vt:lpstr>
      <vt:lpstr>순이익률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2020-10-28T07:03:20Z</dcterms:modified>
</cp:coreProperties>
</file>