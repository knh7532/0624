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aso404\Desktop\모의고사_기출문제(컴활 1급 실기)\메뉴얼\2021_컴활1급\엑셀\완성파일\4장_출제유형02\"/>
    </mc:Choice>
  </mc:AlternateContent>
  <bookViews>
    <workbookView xWindow="0" yWindow="0" windowWidth="23040" windowHeight="9105"/>
  </bookViews>
  <sheets>
    <sheet name="데이터표-2" sheetId="16" r:id="rId1"/>
  </sheets>
  <definedNames>
    <definedName name="불량률">#REF!</definedName>
    <definedName name="순이익률">#REF!</definedName>
    <definedName name="순이익합계">#REF!</definedName>
    <definedName name="이익률">#REF!</definedName>
    <definedName name="이익합계">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16" l="1"/>
  <c r="B5" i="16" s="1"/>
  <c r="E3" i="16" l="1"/>
</calcChain>
</file>

<file path=xl/sharedStrings.xml><?xml version="1.0" encoding="utf-8"?>
<sst xmlns="http://schemas.openxmlformats.org/spreadsheetml/2006/main" count="7" uniqueCount="6">
  <si>
    <t>월 불입금액</t>
    <phoneticPr fontId="2" type="noConversion"/>
  </si>
  <si>
    <t>목표금액</t>
    <phoneticPr fontId="2" type="noConversion"/>
  </si>
  <si>
    <t>(연)이자율</t>
    <phoneticPr fontId="2" type="noConversion"/>
  </si>
  <si>
    <t>월 불입금액</t>
  </si>
  <si>
    <t>납부총액</t>
    <phoneticPr fontId="2" type="noConversion"/>
  </si>
  <si>
    <t>목표년수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</si>
</sst>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6" formatCode="&quot;₩&quot;#,##0;[Red]\-&quot;₩&quot;#,##0"/>
    <numFmt numFmtId="42" formatCode="_-&quot;₩&quot;* #,##0_-;\-&quot;₩&quot;* #,##0_-;_-&quot;₩&quot;* &quot;-&quot;_-;_-@_-"/>
    <numFmt numFmtId="41" formatCode="_-* #,##0_-;\-* #,##0_-;_-* &quot;-&quot;_-;_-@_-"/>
    <numFmt numFmtId="180" formatCode="0.0%"/>
    <numFmt numFmtId="182" formatCode="#,##0_);[Red]\(#,##0\)"/>
    <numFmt numFmtId="183" formatCode="#,##0&quot;년&quot;"/>
  </numFmts>
  <fonts count="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2"/>
      <color indexed="8"/>
      <name val="굴림"/>
      <family val="3"/>
      <charset val="129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>
      <alignment vertical="center"/>
    </xf>
    <xf numFmtId="0" fontId="3" fillId="0" borderId="0">
      <alignment vertical="center"/>
    </xf>
    <xf numFmtId="41" fontId="3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</cellStyleXfs>
  <cellXfs count="20">
    <xf numFmtId="0" fontId="0" fillId="0" borderId="0" xfId="0">
      <alignment vertical="center"/>
    </xf>
    <xf numFmtId="0" fontId="0" fillId="0" borderId="0" xfId="0" applyFont="1" applyAlignment="1">
      <alignment vertical="center"/>
    </xf>
    <xf numFmtId="0" fontId="0" fillId="0" borderId="0" xfId="0" applyFont="1" applyAlignment="1">
      <alignment horizontal="center" vertical="center"/>
    </xf>
    <xf numFmtId="41" fontId="0" fillId="0" borderId="0" xfId="3" applyFont="1" applyAlignment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Fill="1" applyBorder="1" applyAlignment="1">
      <alignment horizontal="center" vertical="center"/>
    </xf>
    <xf numFmtId="41" fontId="6" fillId="2" borderId="1" xfId="3" applyFont="1" applyFill="1" applyBorder="1" applyAlignment="1">
      <alignment horizontal="center" vertical="center"/>
    </xf>
    <xf numFmtId="41" fontId="6" fillId="2" borderId="1" xfId="3" applyFont="1" applyFill="1" applyBorder="1" applyAlignment="1">
      <alignment horizontal="left" vertical="center"/>
    </xf>
    <xf numFmtId="42" fontId="0" fillId="0" borderId="1" xfId="4" applyFont="1" applyFill="1" applyBorder="1" applyAlignment="1">
      <alignment vertical="center"/>
    </xf>
    <xf numFmtId="41" fontId="0" fillId="0" borderId="0" xfId="3" applyFont="1" applyFill="1" applyBorder="1" applyAlignment="1">
      <alignment vertical="center"/>
    </xf>
    <xf numFmtId="0" fontId="6" fillId="2" borderId="1" xfId="0" applyFont="1" applyFill="1" applyBorder="1" applyAlignment="1">
      <alignment horizontal="center" vertical="center"/>
    </xf>
    <xf numFmtId="42" fontId="0" fillId="0" borderId="1" xfId="3" applyNumberFormat="1" applyFont="1" applyFill="1" applyBorder="1" applyAlignment="1">
      <alignment vertical="center"/>
    </xf>
    <xf numFmtId="6" fontId="0" fillId="0" borderId="0" xfId="3" applyNumberFormat="1" applyFont="1" applyFill="1" applyBorder="1" applyAlignment="1">
      <alignment vertical="center"/>
    </xf>
    <xf numFmtId="180" fontId="0" fillId="0" borderId="1" xfId="0" applyNumberFormat="1" applyFont="1" applyBorder="1" applyAlignment="1">
      <alignment horizontal="center" vertical="center"/>
    </xf>
    <xf numFmtId="182" fontId="0" fillId="0" borderId="1" xfId="3" applyNumberFormat="1" applyFont="1" applyBorder="1" applyAlignment="1">
      <alignment vertical="center"/>
    </xf>
    <xf numFmtId="9" fontId="4" fillId="0" borderId="1" xfId="5" applyFont="1" applyFill="1" applyBorder="1" applyAlignment="1">
      <alignment horizontal="center" vertical="center"/>
    </xf>
    <xf numFmtId="183" fontId="0" fillId="0" borderId="1" xfId="3" applyNumberFormat="1" applyFont="1" applyFill="1" applyBorder="1" applyAlignment="1">
      <alignment horizontal="center" vertical="center"/>
    </xf>
    <xf numFmtId="9" fontId="0" fillId="0" borderId="0" xfId="5" applyFont="1" applyFill="1" applyBorder="1" applyAlignment="1">
      <alignment vertical="center"/>
    </xf>
    <xf numFmtId="41" fontId="0" fillId="0" borderId="0" xfId="3" applyFont="1" applyFill="1" applyBorder="1" applyAlignment="1">
      <alignment horizontal="center" vertical="center"/>
    </xf>
    <xf numFmtId="182" fontId="0" fillId="0" borderId="1" xfId="0" applyNumberFormat="1" applyFont="1" applyBorder="1" applyAlignment="1">
      <alignment vertical="center"/>
    </xf>
  </cellXfs>
  <cellStyles count="6">
    <cellStyle name="백분율" xfId="5" builtinId="5"/>
    <cellStyle name="쉼표 [0]" xfId="3" builtinId="6"/>
    <cellStyle name="쉼표 [0] 2" xfId="2"/>
    <cellStyle name="통화 [0]" xfId="4" builtinId="7"/>
    <cellStyle name="표준" xfId="0" builtinId="0"/>
    <cellStyle name="표준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4"/>
  <sheetViews>
    <sheetView tabSelected="1" workbookViewId="0">
      <selection activeCell="A3" sqref="A3"/>
    </sheetView>
  </sheetViews>
  <sheetFormatPr defaultRowHeight="16.5" x14ac:dyDescent="0.3"/>
  <cols>
    <col min="1" max="1" width="12.625" bestFit="1" customWidth="1"/>
    <col min="2" max="2" width="14.375" bestFit="1" customWidth="1"/>
    <col min="5" max="5" width="12.625" bestFit="1" customWidth="1"/>
  </cols>
  <sheetData>
    <row r="1" spans="1:5" x14ac:dyDescent="0.3">
      <c r="A1" s="1"/>
      <c r="B1" s="1"/>
      <c r="C1" s="1"/>
      <c r="D1" s="2"/>
      <c r="E1" s="3"/>
    </row>
    <row r="2" spans="1:5" x14ac:dyDescent="0.3">
      <c r="A2" s="1"/>
      <c r="B2" s="1"/>
      <c r="C2" s="4"/>
      <c r="D2" s="5"/>
      <c r="E2" s="6" t="s">
        <v>0</v>
      </c>
    </row>
    <row r="3" spans="1:5" x14ac:dyDescent="0.3">
      <c r="A3" s="7" t="s">
        <v>1</v>
      </c>
      <c r="B3" s="8">
        <v>10000000</v>
      </c>
      <c r="C3" s="9"/>
      <c r="D3" s="10" t="s">
        <v>2</v>
      </c>
      <c r="E3" s="11">
        <f>B4</f>
        <v>277777.77777777775</v>
      </c>
    </row>
    <row r="4" spans="1:5" x14ac:dyDescent="0.3">
      <c r="A4" s="7" t="s">
        <v>3</v>
      </c>
      <c r="B4" s="8">
        <f>PMT($B$6/12,$B$7*12,0,-$B$3)</f>
        <v>277777.77777777775</v>
      </c>
      <c r="C4" s="12"/>
      <c r="D4" s="13">
        <v>0.02</v>
      </c>
      <c r="E4" s="14">
        <f t="dataTable" ref="E4:E14" dt2D="0" dtr="0" r1="B6"/>
        <v>269759.12065789715</v>
      </c>
    </row>
    <row r="5" spans="1:5" x14ac:dyDescent="0.3">
      <c r="A5" s="7" t="s">
        <v>4</v>
      </c>
      <c r="B5" s="8">
        <f>B4*B7*12</f>
        <v>10000000</v>
      </c>
      <c r="C5" s="9"/>
      <c r="D5" s="13">
        <v>2.5000000000000001E-2</v>
      </c>
      <c r="E5" s="14">
        <v>267780.42331847607</v>
      </c>
    </row>
    <row r="6" spans="1:5" x14ac:dyDescent="0.3">
      <c r="A6" s="7" t="s">
        <v>2</v>
      </c>
      <c r="B6" s="15">
        <v>0</v>
      </c>
      <c r="C6" s="9"/>
      <c r="D6" s="13">
        <v>0.03</v>
      </c>
      <c r="E6" s="14">
        <v>265812.09630652331</v>
      </c>
    </row>
    <row r="7" spans="1:5" x14ac:dyDescent="0.3">
      <c r="A7" s="7" t="s">
        <v>5</v>
      </c>
      <c r="B7" s="16">
        <v>3</v>
      </c>
      <c r="C7" s="17"/>
      <c r="D7" s="13">
        <v>3.5000000000000003E-2</v>
      </c>
      <c r="E7" s="14">
        <v>263854.13060244144</v>
      </c>
    </row>
    <row r="8" spans="1:5" x14ac:dyDescent="0.3">
      <c r="A8" s="1"/>
      <c r="B8" s="1"/>
      <c r="C8" s="18"/>
      <c r="D8" s="13">
        <v>0.04</v>
      </c>
      <c r="E8" s="19">
        <v>261906.51673510351</v>
      </c>
    </row>
    <row r="9" spans="1:5" x14ac:dyDescent="0.3">
      <c r="A9" s="1"/>
      <c r="B9" s="1"/>
      <c r="C9" s="4"/>
      <c r="D9" s="13">
        <v>4.4999999999999998E-2</v>
      </c>
      <c r="E9" s="19">
        <v>259969.24478375577</v>
      </c>
    </row>
    <row r="10" spans="1:5" x14ac:dyDescent="0.3">
      <c r="A10" s="1"/>
      <c r="B10" s="1"/>
      <c r="C10" s="1"/>
      <c r="D10" s="13">
        <v>0.05</v>
      </c>
      <c r="E10" s="19">
        <v>258042.30437998808</v>
      </c>
    </row>
    <row r="11" spans="1:5" x14ac:dyDescent="0.3">
      <c r="A11" s="1"/>
      <c r="B11" s="1"/>
      <c r="C11" s="1"/>
      <c r="D11" s="13">
        <v>5.5E-2</v>
      </c>
      <c r="E11" s="19">
        <v>256125.6847097695</v>
      </c>
    </row>
    <row r="12" spans="1:5" x14ac:dyDescent="0.3">
      <c r="A12" s="1"/>
      <c r="B12" s="1"/>
      <c r="C12" s="1"/>
      <c r="D12" s="13">
        <v>0.06</v>
      </c>
      <c r="E12" s="19">
        <v>254219.37451555111</v>
      </c>
    </row>
    <row r="13" spans="1:5" x14ac:dyDescent="0.3">
      <c r="A13" s="1"/>
      <c r="B13" s="1"/>
      <c r="C13" s="1"/>
      <c r="D13" s="13">
        <v>6.5000000000000002E-2</v>
      </c>
      <c r="E13" s="19">
        <v>252323.36209843121</v>
      </c>
    </row>
    <row r="14" spans="1:5" x14ac:dyDescent="0.3">
      <c r="A14" s="1"/>
      <c r="B14" s="1"/>
      <c r="C14" s="1"/>
      <c r="D14" s="13">
        <v>7.0000000000000007E-2</v>
      </c>
      <c r="E14" s="19">
        <v>250437.63532038609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데이터표-2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aso404</cp:lastModifiedBy>
  <dcterms:created xsi:type="dcterms:W3CDTF">2020-06-11T06:47:58Z</dcterms:created>
  <dcterms:modified xsi:type="dcterms:W3CDTF">2020-10-28T07:14:14Z</dcterms:modified>
</cp:coreProperties>
</file>