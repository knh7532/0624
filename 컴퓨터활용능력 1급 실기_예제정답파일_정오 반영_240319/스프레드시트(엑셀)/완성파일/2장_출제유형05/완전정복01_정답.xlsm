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완성파일\2장_출제유형05\"/>
    </mc:Choice>
  </mc:AlternateContent>
  <bookViews>
    <workbookView xWindow="0" yWindow="0" windowWidth="28800" windowHeight="12255"/>
  </bookViews>
  <sheets>
    <sheet name="계산작업-5" sheetId="4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2" i="4" l="1"/>
  <c r="I21" i="4"/>
  <c r="D21" i="4"/>
  <c r="I20" i="4"/>
  <c r="D20" i="4"/>
  <c r="I19" i="4"/>
  <c r="D19" i="4"/>
  <c r="I18" i="4"/>
  <c r="D18" i="4"/>
  <c r="I17" i="4"/>
  <c r="D17" i="4"/>
  <c r="I16" i="4"/>
  <c r="D16" i="4"/>
  <c r="I15" i="4"/>
  <c r="D15" i="4"/>
  <c r="I14" i="4"/>
  <c r="D14" i="4"/>
  <c r="D10" i="4"/>
  <c r="I9" i="4"/>
  <c r="I8" i="4"/>
  <c r="I7" i="4"/>
  <c r="I6" i="4"/>
  <c r="I5" i="4"/>
  <c r="I4" i="4"/>
  <c r="I3" i="4"/>
</calcChain>
</file>

<file path=xl/sharedStrings.xml><?xml version="1.0" encoding="utf-8"?>
<sst xmlns="http://schemas.openxmlformats.org/spreadsheetml/2006/main" count="59" uniqueCount="56">
  <si>
    <t>김민수</t>
    <phoneticPr fontId="2" type="noConversion"/>
  </si>
  <si>
    <t>기본급</t>
  </si>
  <si>
    <t>[표1] 뮤지컬 예매 현황</t>
    <phoneticPr fontId="2" type="noConversion"/>
  </si>
  <si>
    <t>[표2] 과일 보유현황</t>
    <phoneticPr fontId="2" type="noConversion"/>
  </si>
  <si>
    <t>뮤지컬명</t>
    <phoneticPr fontId="2" type="noConversion"/>
  </si>
  <si>
    <t>시간</t>
    <phoneticPr fontId="2" type="noConversion"/>
  </si>
  <si>
    <t>관람등급</t>
    <phoneticPr fontId="2" type="noConversion"/>
  </si>
  <si>
    <t>예매량</t>
    <phoneticPr fontId="2" type="noConversion"/>
  </si>
  <si>
    <t>과일명</t>
    <phoneticPr fontId="2" type="noConversion"/>
  </si>
  <si>
    <t>총개수</t>
    <phoneticPr fontId="2" type="noConversion"/>
  </si>
  <si>
    <t>상자당개수</t>
    <phoneticPr fontId="2" type="noConversion"/>
  </si>
  <si>
    <t>상자(나머지)</t>
    <phoneticPr fontId="2" type="noConversion"/>
  </si>
  <si>
    <t>오페라의 유령</t>
    <phoneticPr fontId="2" type="noConversion"/>
  </si>
  <si>
    <t>8세이상</t>
    <phoneticPr fontId="2" type="noConversion"/>
  </si>
  <si>
    <t>망고</t>
    <phoneticPr fontId="2" type="noConversion"/>
  </si>
  <si>
    <t>모차르트</t>
    <phoneticPr fontId="2" type="noConversion"/>
  </si>
  <si>
    <t>사과</t>
    <phoneticPr fontId="2" type="noConversion"/>
  </si>
  <si>
    <t>렌트</t>
    <phoneticPr fontId="2" type="noConversion"/>
  </si>
  <si>
    <t>14세이상</t>
    <phoneticPr fontId="2" type="noConversion"/>
  </si>
  <si>
    <t>수박</t>
    <phoneticPr fontId="2" type="noConversion"/>
  </si>
  <si>
    <t>베어 더 뮤지컬</t>
    <phoneticPr fontId="2" type="noConversion"/>
  </si>
  <si>
    <t>15세이상</t>
    <phoneticPr fontId="2" type="noConversion"/>
  </si>
  <si>
    <t>귤</t>
    <phoneticPr fontId="2" type="noConversion"/>
  </si>
  <si>
    <t>더 모먼트</t>
    <phoneticPr fontId="2" type="noConversion"/>
  </si>
  <si>
    <t>13세이상</t>
    <phoneticPr fontId="2" type="noConversion"/>
  </si>
  <si>
    <t>키위</t>
    <phoneticPr fontId="2" type="noConversion"/>
  </si>
  <si>
    <t>백범</t>
    <phoneticPr fontId="2" type="noConversion"/>
  </si>
  <si>
    <t>체리</t>
    <phoneticPr fontId="2" type="noConversion"/>
  </si>
  <si>
    <t>브로드웨이42번가</t>
    <phoneticPr fontId="2" type="noConversion"/>
  </si>
  <si>
    <t>오렌지</t>
    <phoneticPr fontId="2" type="noConversion"/>
  </si>
  <si>
    <t>160분 이상-8세이상 예매량 합계</t>
    <phoneticPr fontId="2" type="noConversion"/>
  </si>
  <si>
    <t>[표3] DVD 목록</t>
    <phoneticPr fontId="2" type="noConversion"/>
  </si>
  <si>
    <t>[표4] 성과금 지급</t>
    <phoneticPr fontId="2" type="noConversion"/>
  </si>
  <si>
    <t>DVD코드</t>
    <phoneticPr fontId="2" type="noConversion"/>
  </si>
  <si>
    <t>대여일</t>
    <phoneticPr fontId="2" type="noConversion"/>
  </si>
  <si>
    <t>감상시간(분)</t>
    <phoneticPr fontId="2" type="noConversion"/>
  </si>
  <si>
    <t>환산</t>
    <phoneticPr fontId="2" type="noConversion"/>
  </si>
  <si>
    <t>사원명</t>
  </si>
  <si>
    <t>호봉</t>
  </si>
  <si>
    <t>성과금</t>
  </si>
  <si>
    <t>NV0075</t>
    <phoneticPr fontId="2" type="noConversion"/>
  </si>
  <si>
    <t>김성수</t>
    <phoneticPr fontId="2" type="noConversion"/>
  </si>
  <si>
    <t>NV0057</t>
    <phoneticPr fontId="2" type="noConversion"/>
  </si>
  <si>
    <t>이하랑</t>
    <phoneticPr fontId="2" type="noConversion"/>
  </si>
  <si>
    <t>NV0033</t>
    <phoneticPr fontId="2" type="noConversion"/>
  </si>
  <si>
    <t>김지헌</t>
    <phoneticPr fontId="2" type="noConversion"/>
  </si>
  <si>
    <t>NV0017</t>
    <phoneticPr fontId="2" type="noConversion"/>
  </si>
  <si>
    <t>이상운</t>
    <phoneticPr fontId="2" type="noConversion"/>
  </si>
  <si>
    <t>NV0088</t>
    <phoneticPr fontId="2" type="noConversion"/>
  </si>
  <si>
    <t>박다현</t>
    <phoneticPr fontId="2" type="noConversion"/>
  </si>
  <si>
    <t>NV0079</t>
    <phoneticPr fontId="2" type="noConversion"/>
  </si>
  <si>
    <t>송은빈</t>
    <phoneticPr fontId="2" type="noConversion"/>
  </si>
  <si>
    <t>NV0023</t>
    <phoneticPr fontId="2" type="noConversion"/>
  </si>
  <si>
    <t>유효승</t>
    <phoneticPr fontId="2" type="noConversion"/>
  </si>
  <si>
    <t>NV0024</t>
    <phoneticPr fontId="2" type="noConversion"/>
  </si>
  <si>
    <t>박재민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</si>
</sst>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80" formatCode="#,##0_ "/>
    <numFmt numFmtId="182" formatCode="General&quot;분&quot;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6" fillId="0" borderId="0"/>
    <xf numFmtId="0" fontId="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182" fontId="0" fillId="0" borderId="1" xfId="0" applyNumberFormat="1" applyBorder="1" applyAlignment="1">
      <alignment horizontal="center" vertical="center"/>
    </xf>
    <xf numFmtId="0" fontId="0" fillId="0" borderId="1" xfId="1" applyNumberFormat="1" applyFont="1" applyFill="1" applyBorder="1" applyAlignment="1">
      <alignment horizontal="center" vertical="center"/>
    </xf>
    <xf numFmtId="41" fontId="0" fillId="0" borderId="1" xfId="1" applyFont="1" applyFill="1" applyBorder="1" applyAlignment="1">
      <alignment horizontal="right" vertical="center"/>
    </xf>
    <xf numFmtId="180" fontId="0" fillId="0" borderId="1" xfId="0" applyNumberForma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3" fontId="3" fillId="0" borderId="1" xfId="0" applyNumberFormat="1" applyFont="1" applyBorder="1">
      <alignment vertical="center"/>
    </xf>
    <xf numFmtId="41" fontId="5" fillId="0" borderId="1" xfId="6" applyFont="1" applyBorder="1">
      <alignment vertical="center"/>
    </xf>
  </cellXfs>
  <cellStyles count="7">
    <cellStyle name="쉼표 [0]" xfId="1" builtinId="6"/>
    <cellStyle name="쉼표 [0] 2 2" xfId="2"/>
    <cellStyle name="쉼표 [0] 3" xfId="5"/>
    <cellStyle name="쉼표 [0] 3 2" xfId="6"/>
    <cellStyle name="표준" xfId="0" builtinId="0"/>
    <cellStyle name="표준 2" xfId="3"/>
    <cellStyle name="표준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o404/Desktop/&#47784;&#51032;&#44256;&#49324;_&#44592;&#52636;&#47928;&#51228;(&#52980;&#54876;%201&#44553;%20&#49892;&#44592;)/&#47700;&#45684;&#50620;/16.&#51060;&#47200;/&#44592;&#48376;&#51089;&#50629;_&#47928;&#5122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외부데이터-1"/>
      <sheetName val="외부데이터-2"/>
      <sheetName val="고급필터-1"/>
      <sheetName val="고급필터-2"/>
      <sheetName val="조건부서식-1"/>
      <sheetName val="조건부서식-2"/>
      <sheetName val="시트보호-1"/>
      <sheetName val="시트보호-2"/>
      <sheetName val="페이지레이아웃-1"/>
      <sheetName val="페이지레이아웃-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E2" t="str">
            <v>연봉</v>
          </cell>
        </row>
        <row r="3">
          <cell r="A3" t="str">
            <v>강원철</v>
          </cell>
          <cell r="E3">
            <v>28900000</v>
          </cell>
        </row>
        <row r="4">
          <cell r="A4" t="str">
            <v>강진용</v>
          </cell>
          <cell r="E4">
            <v>19100000</v>
          </cell>
        </row>
        <row r="5">
          <cell r="A5" t="str">
            <v>구자춘</v>
          </cell>
          <cell r="E5">
            <v>37000000</v>
          </cell>
        </row>
        <row r="6">
          <cell r="A6" t="str">
            <v>권부규</v>
          </cell>
          <cell r="E6">
            <v>37900000</v>
          </cell>
        </row>
        <row r="7">
          <cell r="A7" t="str">
            <v>김진규</v>
          </cell>
          <cell r="E7">
            <v>21200000</v>
          </cell>
        </row>
        <row r="8">
          <cell r="A8" t="str">
            <v>김한일</v>
          </cell>
          <cell r="E8">
            <v>20000000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2"/>
  <sheetViews>
    <sheetView tabSelected="1" workbookViewId="0">
      <selection activeCell="L15" sqref="L15"/>
    </sheetView>
  </sheetViews>
  <sheetFormatPr defaultRowHeight="16.5"/>
  <cols>
    <col min="1" max="1" width="20.75" bestFit="1" customWidth="1"/>
    <col min="2" max="2" width="10.875" bestFit="1" customWidth="1"/>
    <col min="3" max="4" width="11.75" bestFit="1" customWidth="1"/>
    <col min="5" max="5" width="10.375" bestFit="1" customWidth="1"/>
    <col min="8" max="8" width="10.75" bestFit="1" customWidth="1"/>
    <col min="9" max="9" width="11.75" bestFit="1" customWidth="1"/>
    <col min="10" max="10" width="10.75" bestFit="1" customWidth="1"/>
    <col min="11" max="11" width="10.375" bestFit="1" customWidth="1"/>
    <col min="12" max="12" width="11.5" bestFit="1" customWidth="1"/>
  </cols>
  <sheetData>
    <row r="1" spans="1:9">
      <c r="A1" s="3" t="s">
        <v>2</v>
      </c>
      <c r="B1" s="3"/>
      <c r="F1" s="3" t="s">
        <v>3</v>
      </c>
      <c r="G1" s="3"/>
    </row>
    <row r="2" spans="1:9">
      <c r="A2" s="1" t="s">
        <v>4</v>
      </c>
      <c r="B2" s="1" t="s">
        <v>5</v>
      </c>
      <c r="C2" s="1" t="s">
        <v>6</v>
      </c>
      <c r="D2" s="1" t="s">
        <v>7</v>
      </c>
      <c r="F2" s="11" t="s">
        <v>8</v>
      </c>
      <c r="G2" s="11" t="s">
        <v>9</v>
      </c>
      <c r="H2" s="11" t="s">
        <v>10</v>
      </c>
      <c r="I2" s="4" t="s">
        <v>11</v>
      </c>
    </row>
    <row r="3" spans="1:9">
      <c r="A3" s="1" t="s">
        <v>12</v>
      </c>
      <c r="B3" s="12">
        <v>150</v>
      </c>
      <c r="C3" s="1" t="s">
        <v>13</v>
      </c>
      <c r="D3" s="7">
        <v>6800</v>
      </c>
      <c r="F3" s="11" t="s">
        <v>14</v>
      </c>
      <c r="G3" s="11">
        <v>650</v>
      </c>
      <c r="H3" s="13">
        <v>20</v>
      </c>
      <c r="I3" s="14" t="str">
        <f>INT(G3/H3)&amp;"("&amp;MOD(G3,H3)&amp;")"</f>
        <v>32(10)</v>
      </c>
    </row>
    <row r="4" spans="1:9">
      <c r="A4" s="1" t="s">
        <v>15</v>
      </c>
      <c r="B4" s="12">
        <v>175</v>
      </c>
      <c r="C4" s="1" t="s">
        <v>13</v>
      </c>
      <c r="D4" s="7">
        <v>4500</v>
      </c>
      <c r="F4" s="11" t="s">
        <v>16</v>
      </c>
      <c r="G4" s="11">
        <v>530</v>
      </c>
      <c r="H4" s="13">
        <v>30</v>
      </c>
      <c r="I4" s="14" t="str">
        <f t="shared" ref="I4:I9" si="0">INT(G4/H4)&amp;"("&amp;MOD(G4,H4)&amp;")"</f>
        <v>17(20)</v>
      </c>
    </row>
    <row r="5" spans="1:9">
      <c r="A5" s="1" t="s">
        <v>17</v>
      </c>
      <c r="B5" s="12">
        <v>160</v>
      </c>
      <c r="C5" s="1" t="s">
        <v>18</v>
      </c>
      <c r="D5" s="7">
        <v>3850</v>
      </c>
      <c r="F5" s="11" t="s">
        <v>19</v>
      </c>
      <c r="G5" s="11">
        <v>150</v>
      </c>
      <c r="H5" s="13">
        <v>5</v>
      </c>
      <c r="I5" s="14" t="str">
        <f t="shared" si="0"/>
        <v>30(0)</v>
      </c>
    </row>
    <row r="6" spans="1:9">
      <c r="A6" s="1" t="s">
        <v>20</v>
      </c>
      <c r="B6" s="12">
        <v>165</v>
      </c>
      <c r="C6" s="1" t="s">
        <v>21</v>
      </c>
      <c r="D6" s="7">
        <v>2500</v>
      </c>
      <c r="F6" s="11" t="s">
        <v>22</v>
      </c>
      <c r="G6" s="11">
        <v>865</v>
      </c>
      <c r="H6" s="13">
        <v>40</v>
      </c>
      <c r="I6" s="14" t="str">
        <f t="shared" si="0"/>
        <v>21(25)</v>
      </c>
    </row>
    <row r="7" spans="1:9">
      <c r="A7" s="1" t="s">
        <v>23</v>
      </c>
      <c r="B7" s="12">
        <v>100</v>
      </c>
      <c r="C7" s="1" t="s">
        <v>24</v>
      </c>
      <c r="D7" s="7">
        <v>5500</v>
      </c>
      <c r="F7" s="11" t="s">
        <v>25</v>
      </c>
      <c r="G7" s="11">
        <v>488</v>
      </c>
      <c r="H7" s="13">
        <v>25</v>
      </c>
      <c r="I7" s="14" t="str">
        <f t="shared" si="0"/>
        <v>19(13)</v>
      </c>
    </row>
    <row r="8" spans="1:9">
      <c r="A8" s="1" t="s">
        <v>26</v>
      </c>
      <c r="B8" s="12">
        <v>150</v>
      </c>
      <c r="C8" s="1" t="s">
        <v>13</v>
      </c>
      <c r="D8" s="7">
        <v>3300</v>
      </c>
      <c r="F8" s="11" t="s">
        <v>27</v>
      </c>
      <c r="G8" s="11">
        <v>1659</v>
      </c>
      <c r="H8" s="13">
        <v>150</v>
      </c>
      <c r="I8" s="14" t="str">
        <f t="shared" si="0"/>
        <v>11(9)</v>
      </c>
    </row>
    <row r="9" spans="1:9">
      <c r="A9" s="1" t="s">
        <v>28</v>
      </c>
      <c r="B9" s="12">
        <v>160</v>
      </c>
      <c r="C9" s="1" t="s">
        <v>13</v>
      </c>
      <c r="D9" s="7">
        <v>6500</v>
      </c>
      <c r="F9" s="11" t="s">
        <v>29</v>
      </c>
      <c r="G9" s="11">
        <v>745</v>
      </c>
      <c r="H9" s="13">
        <v>35</v>
      </c>
      <c r="I9" s="14" t="str">
        <f t="shared" si="0"/>
        <v>21(10)</v>
      </c>
    </row>
    <row r="10" spans="1:9">
      <c r="A10" s="8" t="s">
        <v>30</v>
      </c>
      <c r="B10" s="9"/>
      <c r="C10" s="10"/>
      <c r="D10" s="15">
        <f>SUMIFS(D3:D9,B3:B9,"&gt;=160",C3:C9,"8세이상")</f>
        <v>11000</v>
      </c>
    </row>
    <row r="12" spans="1:9">
      <c r="A12" s="3" t="s">
        <v>31</v>
      </c>
      <c r="F12" s="3" t="s">
        <v>32</v>
      </c>
      <c r="G12" s="3"/>
    </row>
    <row r="13" spans="1:9">
      <c r="A13" s="16" t="s">
        <v>33</v>
      </c>
      <c r="B13" s="16" t="s">
        <v>34</v>
      </c>
      <c r="C13" s="17" t="s">
        <v>35</v>
      </c>
      <c r="D13" s="4" t="s">
        <v>36</v>
      </c>
      <c r="F13" s="18" t="s">
        <v>37</v>
      </c>
      <c r="G13" s="5" t="s">
        <v>38</v>
      </c>
      <c r="H13" s="5" t="s">
        <v>1</v>
      </c>
      <c r="I13" s="4" t="s">
        <v>39</v>
      </c>
    </row>
    <row r="14" spans="1:9">
      <c r="A14" s="2" t="s">
        <v>40</v>
      </c>
      <c r="B14" s="2">
        <v>43835</v>
      </c>
      <c r="C14" s="6">
        <v>140</v>
      </c>
      <c r="D14" s="1" t="str">
        <f>IF(C14&lt;120,TEXT(ROUNDUP(C14/60,0),"0시간"),TEXT((C14-MOD(C14,60))/60,"0시간")&amp;TEXT(MOD(C14,60)," 0분"))</f>
        <v>2시간 20분</v>
      </c>
      <c r="F14" s="5" t="s">
        <v>41</v>
      </c>
      <c r="G14" s="5">
        <v>1</v>
      </c>
      <c r="H14" s="19">
        <v>2538900</v>
      </c>
      <c r="I14" s="20">
        <f>TRUNC(SQRT(G14)*H14)</f>
        <v>2538900</v>
      </c>
    </row>
    <row r="15" spans="1:9">
      <c r="A15" s="2" t="s">
        <v>42</v>
      </c>
      <c r="B15" s="2">
        <v>43838</v>
      </c>
      <c r="C15" s="6">
        <v>95</v>
      </c>
      <c r="D15" s="1" t="str">
        <f>IF(C15&lt;120,TEXT(ROUNDUP(C15/60,0),"0시간"),TEXT((C15-MOD(C15,60))/60,"0시간")&amp;TEXT(MOD(C15,60)," 0분"))</f>
        <v>2시간</v>
      </c>
      <c r="F15" s="5" t="s">
        <v>43</v>
      </c>
      <c r="G15" s="5">
        <v>3</v>
      </c>
      <c r="H15" s="19">
        <v>2748100</v>
      </c>
      <c r="I15" s="20">
        <f t="shared" ref="I15:I22" si="1">TRUNC(SQRT(G15)*H15)</f>
        <v>4759848</v>
      </c>
    </row>
    <row r="16" spans="1:9">
      <c r="A16" s="2" t="s">
        <v>44</v>
      </c>
      <c r="B16" s="2">
        <v>43862</v>
      </c>
      <c r="C16" s="6">
        <v>120</v>
      </c>
      <c r="D16" s="1" t="str">
        <f>IF(C16&lt;120,TEXT(ROUNDUP(C16/60,0),"0시간"),TEXT((C16-MOD(C16,60))/60,"0시간")&amp;TEXT(MOD(C16,60)," 0분"))</f>
        <v>2시간 0분</v>
      </c>
      <c r="F16" s="5" t="s">
        <v>45</v>
      </c>
      <c r="G16" s="5">
        <v>7</v>
      </c>
      <c r="H16" s="19">
        <v>3205900</v>
      </c>
      <c r="I16" s="20">
        <f t="shared" si="1"/>
        <v>8482014</v>
      </c>
    </row>
    <row r="17" spans="1:9">
      <c r="A17" s="2" t="s">
        <v>46</v>
      </c>
      <c r="B17" s="2">
        <v>43866</v>
      </c>
      <c r="C17" s="6">
        <v>152</v>
      </c>
      <c r="D17" s="1" t="str">
        <f t="shared" ref="D17:D21" si="2">IF(C17&lt;120,TEXT(ROUNDUP(C17/60,0),"0시간"),TEXT((C17-MOD(C17,60))/60,"0시간")&amp;TEXT(MOD(C17,60)," 0분"))</f>
        <v>2시간 32분</v>
      </c>
      <c r="F17" s="5" t="s">
        <v>47</v>
      </c>
      <c r="G17" s="5">
        <v>5</v>
      </c>
      <c r="H17" s="19">
        <v>2972300</v>
      </c>
      <c r="I17" s="20">
        <f t="shared" si="1"/>
        <v>6646264</v>
      </c>
    </row>
    <row r="18" spans="1:9">
      <c r="A18" s="2" t="s">
        <v>48</v>
      </c>
      <c r="B18" s="2">
        <v>43869</v>
      </c>
      <c r="C18" s="6">
        <v>144</v>
      </c>
      <c r="D18" s="1" t="str">
        <f t="shared" si="2"/>
        <v>2시간 24분</v>
      </c>
      <c r="F18" s="5" t="s">
        <v>49</v>
      </c>
      <c r="G18" s="5">
        <v>4</v>
      </c>
      <c r="H18" s="19">
        <v>2858800</v>
      </c>
      <c r="I18" s="20">
        <f t="shared" si="1"/>
        <v>5717600</v>
      </c>
    </row>
    <row r="19" spans="1:9">
      <c r="A19" s="2" t="s">
        <v>50</v>
      </c>
      <c r="B19" s="2">
        <v>43892</v>
      </c>
      <c r="C19" s="6">
        <v>115</v>
      </c>
      <c r="D19" s="1" t="str">
        <f t="shared" si="2"/>
        <v>2시간</v>
      </c>
      <c r="F19" s="5" t="s">
        <v>51</v>
      </c>
      <c r="G19" s="5">
        <v>5</v>
      </c>
      <c r="H19" s="19">
        <v>2972300</v>
      </c>
      <c r="I19" s="20">
        <f t="shared" si="1"/>
        <v>6646264</v>
      </c>
    </row>
    <row r="20" spans="1:9">
      <c r="A20" s="2" t="s">
        <v>52</v>
      </c>
      <c r="B20" s="2">
        <v>43900</v>
      </c>
      <c r="C20" s="6">
        <v>175</v>
      </c>
      <c r="D20" s="1" t="str">
        <f t="shared" si="2"/>
        <v>2시간 55분</v>
      </c>
      <c r="F20" s="5" t="s">
        <v>53</v>
      </c>
      <c r="G20" s="5">
        <v>3</v>
      </c>
      <c r="H20" s="19">
        <v>2748100</v>
      </c>
      <c r="I20" s="20">
        <f t="shared" si="1"/>
        <v>4759848</v>
      </c>
    </row>
    <row r="21" spans="1:9">
      <c r="A21" s="2" t="s">
        <v>54</v>
      </c>
      <c r="B21" s="2">
        <v>43908</v>
      </c>
      <c r="C21" s="6">
        <v>135</v>
      </c>
      <c r="D21" s="1" t="str">
        <f t="shared" si="2"/>
        <v>2시간 15분</v>
      </c>
      <c r="F21" s="5" t="s">
        <v>0</v>
      </c>
      <c r="G21" s="5">
        <v>2</v>
      </c>
      <c r="H21" s="19">
        <v>2641600</v>
      </c>
      <c r="I21" s="20">
        <f t="shared" si="1"/>
        <v>3735786</v>
      </c>
    </row>
    <row r="22" spans="1:9">
      <c r="F22" s="5" t="s">
        <v>55</v>
      </c>
      <c r="G22" s="5">
        <v>4</v>
      </c>
      <c r="H22" s="19">
        <v>2858800</v>
      </c>
      <c r="I22" s="20">
        <f t="shared" si="1"/>
        <v>5717600</v>
      </c>
    </row>
  </sheetData>
  <mergeCells count="1">
    <mergeCell ref="A10:C10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계산작업-5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aso404</cp:lastModifiedBy>
  <cp:lastPrinted>2020-10-28T05:41:21Z</cp:lastPrinted>
  <dcterms:created xsi:type="dcterms:W3CDTF">2020-10-28T04:59:21Z</dcterms:created>
  <dcterms:modified xsi:type="dcterms:W3CDTF">2020-10-28T06:04:40Z</dcterms:modified>
</cp:coreProperties>
</file>