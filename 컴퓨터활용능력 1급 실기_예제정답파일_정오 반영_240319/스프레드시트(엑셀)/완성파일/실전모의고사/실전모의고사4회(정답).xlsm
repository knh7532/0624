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innu\OneDrive\바탕 화면\본부장님전송\컴1급실기\컴활1급소스 및 완성 파일\완성 파일\실전모의고사\"/>
    </mc:Choice>
  </mc:AlternateContent>
  <xr:revisionPtr revIDLastSave="0" documentId="13_ncr:1_{80DF6E97-C72D-42EA-8A11-AE72057ADEDD}" xr6:coauthVersionLast="47" xr6:coauthVersionMax="47" xr10:uidLastSave="{00000000-0000-0000-0000-000000000000}"/>
  <bookViews>
    <workbookView xWindow="28680" yWindow="2220" windowWidth="29040" windowHeight="16440" xr2:uid="{00000000-000D-0000-FFFF-FFFF00000000}"/>
  </bookViews>
  <sheets>
    <sheet name="기본작업-1" sheetId="2" r:id="rId1"/>
    <sheet name="기본작업-2" sheetId="9" r:id="rId2"/>
    <sheet name="계산작업" sheetId="3" r:id="rId3"/>
    <sheet name="분석작업-1" sheetId="4" r:id="rId4"/>
    <sheet name="분석작업-2" sheetId="8" r:id="rId5"/>
    <sheet name="기타작업-1" sheetId="6" r:id="rId6"/>
    <sheet name="기타작업-2" sheetId="11" r:id="rId7"/>
    <sheet name="기타작업-3" sheetId="10" r:id="rId8"/>
  </sheets>
  <functionGroups builtInGroupCount="19"/>
  <definedNames>
    <definedName name="_xlnm._FilterDatabase" localSheetId="0" hidden="1">'기본작업-1'!$A$3:$I$33</definedName>
    <definedName name="_xlnm._FilterDatabase" localSheetId="4" hidden="1">'분석작업-2'!$A$3:$E$33</definedName>
    <definedName name="_xlnm.Criteria" localSheetId="0">'기본작업-1'!$A$36:$A$37</definedName>
    <definedName name="_xlnm.Extract" localSheetId="0">'기본작업-1'!$A$39:$E$39</definedName>
  </definedNames>
  <calcPr calcId="191029"/>
  <pivotCaches>
    <pivotCache cacheId="18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3" l="1" a="1"/>
  <c r="C4" i="3"/>
  <c r="C5" i="3" a="1"/>
  <c r="C5" i="3"/>
  <c r="C6" i="3" a="1"/>
  <c r="C6" i="3"/>
  <c r="C7" i="3" a="1"/>
  <c r="C7" i="3"/>
  <c r="C8" i="3" a="1"/>
  <c r="C8" i="3" s="1"/>
  <c r="C9" i="3" a="1"/>
  <c r="C9" i="3"/>
  <c r="C10" i="3" a="1"/>
  <c r="C10" i="3" s="1"/>
  <c r="C11" i="3" a="1"/>
  <c r="C11" i="3"/>
  <c r="C12" i="3" a="1"/>
  <c r="C12" i="3" s="1"/>
  <c r="C13" i="3" a="1"/>
  <c r="C13" i="3"/>
  <c r="C14" i="3" a="1"/>
  <c r="C14" i="3" s="1"/>
  <c r="C15" i="3" a="1"/>
  <c r="C15" i="3"/>
  <c r="C16" i="3" a="1"/>
  <c r="C16" i="3" s="1"/>
  <c r="C17" i="3" a="1"/>
  <c r="C17" i="3"/>
  <c r="C18" i="3" a="1"/>
  <c r="C18" i="3" s="1"/>
  <c r="C19" i="3" a="1"/>
  <c r="C19" i="3"/>
  <c r="C20" i="3" a="1"/>
  <c r="C20" i="3" s="1"/>
  <c r="C21" i="3" a="1"/>
  <c r="C21" i="3"/>
  <c r="C22" i="3" a="1"/>
  <c r="C22" i="3" s="1"/>
  <c r="C23" i="3" a="1"/>
  <c r="C23" i="3"/>
  <c r="C24" i="3" a="1"/>
  <c r="C24" i="3" s="1"/>
  <c r="C25" i="3" a="1"/>
  <c r="C25" i="3"/>
  <c r="C26" i="3" a="1"/>
  <c r="C26" i="3" s="1"/>
  <c r="C27" i="3" a="1"/>
  <c r="C27" i="3" s="1"/>
  <c r="C28" i="3" a="1"/>
  <c r="C28" i="3" s="1"/>
  <c r="C3" i="3" a="1"/>
  <c r="C3" i="3" s="1"/>
  <c r="A37" i="2"/>
  <c r="L7" i="3" a="1"/>
  <c r="L13" i="3" a="1"/>
  <c r="L19" i="3" a="1"/>
  <c r="L23" i="3" a="1"/>
  <c r="L27" i="3" a="1"/>
  <c r="L4" i="3" a="1"/>
  <c r="L10" i="3" a="1"/>
  <c r="L14" i="3" a="1"/>
  <c r="L18" i="3" a="1"/>
  <c r="L20" i="3" a="1"/>
  <c r="L24" i="3" a="1"/>
  <c r="L28" i="3" a="1"/>
  <c r="L5" i="3" a="1"/>
  <c r="L9" i="3" a="1"/>
  <c r="L11" i="3" a="1"/>
  <c r="L15" i="3" a="1"/>
  <c r="L17" i="3" a="1"/>
  <c r="L21" i="3" a="1"/>
  <c r="L25" i="3" a="1"/>
  <c r="L6" i="3" a="1"/>
  <c r="L8" i="3" a="1"/>
  <c r="L12" i="3" a="1"/>
  <c r="L16" i="3" a="1"/>
  <c r="L22" i="3" a="1"/>
  <c r="L26" i="3" a="1"/>
  <c r="L3" i="3" a="1"/>
  <c r="L26" i="3" l="1"/>
  <c r="L22" i="3"/>
  <c r="L16" i="3"/>
  <c r="L12" i="3"/>
  <c r="L8" i="3"/>
  <c r="L6" i="3"/>
  <c r="L25" i="3"/>
  <c r="L21" i="3"/>
  <c r="L17" i="3"/>
  <c r="L15" i="3"/>
  <c r="L11" i="3"/>
  <c r="L9" i="3"/>
  <c r="L5" i="3"/>
  <c r="L28" i="3"/>
  <c r="L24" i="3"/>
  <c r="L20" i="3"/>
  <c r="L18" i="3"/>
  <c r="L14" i="3"/>
  <c r="L10" i="3"/>
  <c r="L4" i="3"/>
  <c r="L27" i="3"/>
  <c r="L23" i="3"/>
  <c r="L19" i="3"/>
  <c r="L13" i="3"/>
  <c r="L7" i="3"/>
  <c r="L3" i="3"/>
  <c r="G33" i="11"/>
  <c r="G32" i="11"/>
  <c r="G31" i="11"/>
  <c r="G30" i="11"/>
  <c r="G29" i="11"/>
  <c r="G28" i="11"/>
  <c r="G27" i="11"/>
  <c r="G26" i="11"/>
  <c r="G25" i="11"/>
  <c r="G24" i="11"/>
  <c r="G23" i="11"/>
  <c r="G22" i="11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R14" i="3" l="1" a="1"/>
  <c r="R14" i="3" s="1"/>
  <c r="S14" i="3" a="1"/>
  <c r="S14" i="3" s="1"/>
  <c r="T14" i="3" a="1"/>
  <c r="T14" i="3" s="1"/>
  <c r="R15" i="3" a="1"/>
  <c r="R15" i="3" s="1"/>
  <c r="S15" i="3" a="1"/>
  <c r="S15" i="3" s="1"/>
  <c r="T15" i="3" a="1"/>
  <c r="T15" i="3" s="1"/>
  <c r="R16" i="3" a="1"/>
  <c r="R16" i="3" s="1"/>
  <c r="S16" i="3" a="1"/>
  <c r="S16" i="3"/>
  <c r="T16" i="3" a="1"/>
  <c r="T16" i="3" s="1"/>
  <c r="R17" i="3" a="1"/>
  <c r="R17" i="3" s="1"/>
  <c r="S17" i="3" a="1"/>
  <c r="S17" i="3" s="1"/>
  <c r="T17" i="3" a="1"/>
  <c r="T17" i="3" s="1"/>
  <c r="R18" i="3" a="1"/>
  <c r="R18" i="3" s="1"/>
  <c r="S18" i="3" a="1"/>
  <c r="S18" i="3" s="1"/>
  <c r="T18" i="3" a="1"/>
  <c r="T18" i="3" s="1"/>
  <c r="Q15" i="3" a="1"/>
  <c r="Q15" i="3" s="1"/>
  <c r="Q16" i="3" a="1"/>
  <c r="Q16" i="3" s="1"/>
  <c r="Q17" i="3" a="1"/>
  <c r="Q17" i="3" s="1"/>
  <c r="Q18" i="3" a="1"/>
  <c r="Q18" i="3" s="1"/>
  <c r="Q14" i="3" a="1"/>
  <c r="Q14" i="3" s="1"/>
  <c r="H10" i="6" l="1"/>
  <c r="G10" i="6"/>
  <c r="F10" i="6"/>
  <c r="E10" i="6"/>
  <c r="D10" i="6"/>
  <c r="C10" i="6"/>
  <c r="J28" i="3"/>
  <c r="K28" i="3" s="1"/>
  <c r="I28" i="3"/>
  <c r="J27" i="3"/>
  <c r="K27" i="3" s="1"/>
  <c r="I27" i="3"/>
  <c r="J26" i="3"/>
  <c r="K26" i="3" s="1"/>
  <c r="I26" i="3"/>
  <c r="K25" i="3"/>
  <c r="J25" i="3"/>
  <c r="I25" i="3"/>
  <c r="J24" i="3"/>
  <c r="K24" i="3" s="1"/>
  <c r="I24" i="3"/>
  <c r="J23" i="3"/>
  <c r="K23" i="3" s="1"/>
  <c r="I23" i="3"/>
  <c r="J22" i="3"/>
  <c r="I22" i="3"/>
  <c r="K22" i="3" s="1"/>
  <c r="J21" i="3"/>
  <c r="I21" i="3"/>
  <c r="K21" i="3" s="1"/>
  <c r="K20" i="3"/>
  <c r="J20" i="3"/>
  <c r="I20" i="3"/>
  <c r="K19" i="3"/>
  <c r="J19" i="3"/>
  <c r="I19" i="3"/>
  <c r="K18" i="3"/>
  <c r="J18" i="3"/>
  <c r="I18" i="3"/>
  <c r="J17" i="3"/>
  <c r="K17" i="3" s="1"/>
  <c r="I17" i="3"/>
  <c r="J16" i="3"/>
  <c r="I16" i="3"/>
  <c r="K16" i="3" s="1"/>
  <c r="J15" i="3"/>
  <c r="K15" i="3" s="1"/>
  <c r="I15" i="3"/>
  <c r="J14" i="3"/>
  <c r="K14" i="3" s="1"/>
  <c r="I14" i="3"/>
  <c r="J13" i="3"/>
  <c r="K13" i="3" s="1"/>
  <c r="I13" i="3"/>
  <c r="J12" i="3"/>
  <c r="K12" i="3" s="1"/>
  <c r="I12" i="3"/>
  <c r="J11" i="3"/>
  <c r="K11" i="3" s="1"/>
  <c r="I11" i="3"/>
  <c r="J10" i="3"/>
  <c r="K10" i="3" s="1"/>
  <c r="I10" i="3"/>
  <c r="K9" i="3"/>
  <c r="J9" i="3"/>
  <c r="I9" i="3"/>
  <c r="J8" i="3"/>
  <c r="K8" i="3" s="1"/>
  <c r="I8" i="3"/>
  <c r="J7" i="3"/>
  <c r="K7" i="3" s="1"/>
  <c r="I7" i="3"/>
  <c r="J6" i="3"/>
  <c r="I6" i="3"/>
  <c r="K6" i="3" s="1"/>
  <c r="J5" i="3"/>
  <c r="K5" i="3" s="1"/>
  <c r="I5" i="3"/>
  <c r="J4" i="3"/>
  <c r="K4" i="3" s="1"/>
  <c r="I4" i="3"/>
  <c r="K3" i="3"/>
  <c r="J3" i="3"/>
  <c r="I3" i="3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R9" i="3" l="1" a="1"/>
  <c r="R9" i="3" s="1"/>
  <c r="R10" i="3" a="1"/>
  <c r="R10" i="3" s="1"/>
  <c r="R5" i="3" a="1"/>
  <c r="R5" i="3" s="1"/>
  <c r="R6" i="3" a="1"/>
  <c r="R6" i="3" s="1"/>
  <c r="R3" i="3" a="1"/>
  <c r="R3" i="3" s="1"/>
  <c r="R4" i="3" a="1"/>
  <c r="R4" i="3" s="1"/>
  <c r="R7" i="3" a="1"/>
  <c r="R7" i="3" s="1"/>
  <c r="R8" i="3" a="1"/>
  <c r="R8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도서현황.accdb;DefaultDir=C:\OA;DriverId=25;FIL=MS Access;MaxBufferSize=2048;PageTimeout=5;" command="SELECT 도서.도서명, 도서.출판일, 도서.분류, 도서.출판사, 도서.저자, 도서.가격, 도서.페이지, 도서.권장_x000d__x000a_FROM `C:\OA\도서현황.accdb`.도서 도서"/>
  </connection>
  <connection id="2" xr16:uid="{CEE5C23B-7355-434E-93C0-4601724038EC}" name="MS Access Database_Query1" type="1" refreshedVersion="8" background="1">
    <dbPr connection="DSN=MS Access Database;DBQ=C:\컴활1급소스 및 완성 파일\소스 파일\실전모의고사\도서현황.accdb;DefaultDir=C:\컴활1급소스 및 완성 파일\소스 파일\실전모의고사;DriverId=25;FIL=MS Access;MaxBufferSize=2048;PageTimeout=5;" command="SELECT 도서.도서명, 도서.출판일, 도서.분류, 도서.출판사, 도서.저자, 도서.가격, 도서.페이지, 도서.권장_x000d__x000a_FROM 도서 도서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<sst xmlns="http://schemas.openxmlformats.org/spreadsheetml/2006/main" count="660" uniqueCount="224">
  <si>
    <t>번호</t>
    <phoneticPr fontId="2" type="noConversion"/>
  </si>
  <si>
    <t>부서</t>
    <phoneticPr fontId="2" type="noConversion"/>
  </si>
  <si>
    <t>성명</t>
    <phoneticPr fontId="2" type="noConversion"/>
  </si>
  <si>
    <t>소속</t>
    <phoneticPr fontId="2" type="noConversion"/>
  </si>
  <si>
    <t>대여일</t>
    <phoneticPr fontId="2" type="noConversion"/>
  </si>
  <si>
    <t>반납일</t>
    <phoneticPr fontId="2" type="noConversion"/>
  </si>
  <si>
    <t>지체일수</t>
    <phoneticPr fontId="2" type="noConversion"/>
  </si>
  <si>
    <t>1일당벌금</t>
    <phoneticPr fontId="2" type="noConversion"/>
  </si>
  <si>
    <t>벌금총액</t>
    <phoneticPr fontId="2" type="noConversion"/>
  </si>
  <si>
    <t>비고</t>
    <phoneticPr fontId="2" type="noConversion"/>
  </si>
  <si>
    <t>관리부</t>
    <phoneticPr fontId="2" type="noConversion"/>
  </si>
  <si>
    <t>양지웅</t>
  </si>
  <si>
    <t>본사</t>
    <phoneticPr fontId="2" type="noConversion"/>
  </si>
  <si>
    <t>총무부</t>
    <phoneticPr fontId="2" type="noConversion"/>
  </si>
  <si>
    <t>최수인</t>
  </si>
  <si>
    <t>인사부</t>
    <phoneticPr fontId="2" type="noConversion"/>
  </si>
  <si>
    <t>김영훈</t>
    <phoneticPr fontId="2" type="noConversion"/>
  </si>
  <si>
    <t>기획부</t>
    <phoneticPr fontId="2" type="noConversion"/>
  </si>
  <si>
    <t>김연오</t>
    <phoneticPr fontId="2" type="noConversion"/>
  </si>
  <si>
    <t>지사</t>
    <phoneticPr fontId="2" type="noConversion"/>
  </si>
  <si>
    <t>자재부</t>
    <phoneticPr fontId="2" type="noConversion"/>
  </si>
  <si>
    <t>정정애</t>
  </si>
  <si>
    <t>남미연</t>
    <phoneticPr fontId="2" type="noConversion"/>
  </si>
  <si>
    <t>김현선</t>
  </si>
  <si>
    <t>이은주</t>
  </si>
  <si>
    <t>정화영</t>
  </si>
  <si>
    <t>정화선</t>
  </si>
  <si>
    <t>박세람</t>
  </si>
  <si>
    <t>추영임</t>
  </si>
  <si>
    <t>김우승</t>
  </si>
  <si>
    <t>인수연</t>
  </si>
  <si>
    <t>정유진</t>
  </si>
  <si>
    <t>김지연</t>
  </si>
  <si>
    <t>인수진</t>
  </si>
  <si>
    <t>정영웅</t>
  </si>
  <si>
    <t>양연영</t>
  </si>
  <si>
    <t>최정연</t>
    <phoneticPr fontId="2" type="noConversion"/>
  </si>
  <si>
    <t>김유람</t>
    <phoneticPr fontId="2" type="noConversion"/>
  </si>
  <si>
    <t>김현임</t>
  </si>
  <si>
    <t>정은승</t>
  </si>
  <si>
    <t>남화연</t>
    <phoneticPr fontId="2" type="noConversion"/>
  </si>
  <si>
    <t>김화훈</t>
  </si>
  <si>
    <t>이세오</t>
  </si>
  <si>
    <t>정영애</t>
  </si>
  <si>
    <t>정우리</t>
  </si>
  <si>
    <t>박수선</t>
  </si>
  <si>
    <t>추유연</t>
    <phoneticPr fontId="2" type="noConversion"/>
  </si>
  <si>
    <t>[표1]</t>
    <phoneticPr fontId="2" type="noConversion"/>
  </si>
  <si>
    <t>도서코드</t>
    <phoneticPr fontId="2" type="noConversion"/>
  </si>
  <si>
    <t>회원구분</t>
    <phoneticPr fontId="2" type="noConversion"/>
  </si>
  <si>
    <t>도소매</t>
    <phoneticPr fontId="2" type="noConversion"/>
  </si>
  <si>
    <t>포인트</t>
    <phoneticPr fontId="2" type="noConversion"/>
  </si>
  <si>
    <t>정가</t>
    <phoneticPr fontId="2" type="noConversion"/>
  </si>
  <si>
    <t>수량</t>
    <phoneticPr fontId="2" type="noConversion"/>
  </si>
  <si>
    <t>할인액</t>
    <phoneticPr fontId="2" type="noConversion"/>
  </si>
  <si>
    <t>총액</t>
    <phoneticPr fontId="2" type="noConversion"/>
  </si>
  <si>
    <t>지불액</t>
    <phoneticPr fontId="2" type="noConversion"/>
  </si>
  <si>
    <t>페이지단가</t>
    <phoneticPr fontId="2" type="noConversion"/>
  </si>
  <si>
    <t>현금</t>
    <phoneticPr fontId="2" type="noConversion"/>
  </si>
  <si>
    <t>소매</t>
    <phoneticPr fontId="2" type="noConversion"/>
  </si>
  <si>
    <t>정회원</t>
    <phoneticPr fontId="2" type="noConversion"/>
  </si>
  <si>
    <t>신용</t>
    <phoneticPr fontId="2" type="noConversion"/>
  </si>
  <si>
    <t>도매</t>
    <phoneticPr fontId="2" type="noConversion"/>
  </si>
  <si>
    <t>준회원</t>
    <phoneticPr fontId="2" type="noConversion"/>
  </si>
  <si>
    <t>세금</t>
    <phoneticPr fontId="2" type="noConversion"/>
  </si>
  <si>
    <t>일반</t>
    <phoneticPr fontId="2" type="noConversion"/>
  </si>
  <si>
    <t>제휴</t>
    <phoneticPr fontId="2" type="noConversion"/>
  </si>
  <si>
    <t>정화선</t>
    <phoneticPr fontId="2" type="noConversion"/>
  </si>
  <si>
    <t>기한내</t>
    <phoneticPr fontId="2" type="noConversion"/>
  </si>
  <si>
    <t>시장후보 결정 정보취득방법</t>
    <phoneticPr fontId="2" type="noConversion"/>
  </si>
  <si>
    <t>연령</t>
    <phoneticPr fontId="2" type="noConversion"/>
  </si>
  <si>
    <t>언론보도</t>
    <phoneticPr fontId="2" type="noConversion"/>
  </si>
  <si>
    <t>대담</t>
    <phoneticPr fontId="2" type="noConversion"/>
  </si>
  <si>
    <t>인터넷</t>
    <phoneticPr fontId="2" type="noConversion"/>
  </si>
  <si>
    <t>홍보물</t>
    <phoneticPr fontId="2" type="noConversion"/>
  </si>
  <si>
    <t>후보유세</t>
    <phoneticPr fontId="2" type="noConversion"/>
  </si>
  <si>
    <t>무응답</t>
    <phoneticPr fontId="2" type="noConversion"/>
  </si>
  <si>
    <t>20대</t>
    <phoneticPr fontId="2" type="noConversion"/>
  </si>
  <si>
    <t>30대</t>
    <phoneticPr fontId="2" type="noConversion"/>
  </si>
  <si>
    <t>40대</t>
    <phoneticPr fontId="2" type="noConversion"/>
  </si>
  <si>
    <t>50대</t>
    <phoneticPr fontId="2" type="noConversion"/>
  </si>
  <si>
    <t>60세이상</t>
    <phoneticPr fontId="2" type="noConversion"/>
  </si>
  <si>
    <t>전체</t>
    <phoneticPr fontId="2" type="noConversion"/>
  </si>
  <si>
    <t>[전종]</t>
    <phoneticPr fontId="2" type="noConversion"/>
  </si>
  <si>
    <t>사무실</t>
    <phoneticPr fontId="2" type="noConversion"/>
  </si>
  <si>
    <t>결제</t>
    <phoneticPr fontId="2" type="noConversion"/>
  </si>
  <si>
    <t>백분율</t>
    <phoneticPr fontId="2" type="noConversion"/>
  </si>
  <si>
    <t>C-130-1</t>
    <phoneticPr fontId="2" type="noConversion"/>
  </si>
  <si>
    <t>A-250-2</t>
    <phoneticPr fontId="2" type="noConversion"/>
  </si>
  <si>
    <t>D-271-2</t>
    <phoneticPr fontId="2" type="noConversion"/>
  </si>
  <si>
    <t>B-260-1</t>
    <phoneticPr fontId="2" type="noConversion"/>
  </si>
  <si>
    <t>E-61-1</t>
    <phoneticPr fontId="2" type="noConversion"/>
  </si>
  <si>
    <t>D-133-1</t>
    <phoneticPr fontId="2" type="noConversion"/>
  </si>
  <si>
    <t>B-111-2</t>
    <phoneticPr fontId="2" type="noConversion"/>
  </si>
  <si>
    <t>C-195-1</t>
    <phoneticPr fontId="2" type="noConversion"/>
  </si>
  <si>
    <t>A-125-1</t>
    <phoneticPr fontId="2" type="noConversion"/>
  </si>
  <si>
    <t>D-50-2</t>
    <phoneticPr fontId="2" type="noConversion"/>
  </si>
  <si>
    <t>B-192-1</t>
    <phoneticPr fontId="2" type="noConversion"/>
  </si>
  <si>
    <t>E-303-2</t>
    <phoneticPr fontId="2" type="noConversion"/>
  </si>
  <si>
    <t>C-50-1</t>
    <phoneticPr fontId="2" type="noConversion"/>
  </si>
  <si>
    <t>A-166-1</t>
    <phoneticPr fontId="2" type="noConversion"/>
  </si>
  <si>
    <t>D-230-2</t>
    <phoneticPr fontId="2" type="noConversion"/>
  </si>
  <si>
    <t>B-150-1</t>
    <phoneticPr fontId="2" type="noConversion"/>
  </si>
  <si>
    <t>E-201-1</t>
    <phoneticPr fontId="2" type="noConversion"/>
  </si>
  <si>
    <t>C-132-2</t>
    <phoneticPr fontId="2" type="noConversion"/>
  </si>
  <si>
    <t>A-60-1</t>
    <phoneticPr fontId="2" type="noConversion"/>
  </si>
  <si>
    <t>C-221-1</t>
    <phoneticPr fontId="2" type="noConversion"/>
  </si>
  <si>
    <t>A-185-1</t>
    <phoneticPr fontId="2" type="noConversion"/>
  </si>
  <si>
    <t>D-254-1</t>
    <phoneticPr fontId="2" type="noConversion"/>
  </si>
  <si>
    <t>B-149-1</t>
    <phoneticPr fontId="2" type="noConversion"/>
  </si>
  <si>
    <t>E-160-1</t>
    <phoneticPr fontId="2" type="noConversion"/>
  </si>
  <si>
    <t>B-20-1</t>
    <phoneticPr fontId="2" type="noConversion"/>
  </si>
  <si>
    <t>E-49-2</t>
    <phoneticPr fontId="2" type="noConversion"/>
  </si>
  <si>
    <t>[표1]</t>
    <phoneticPr fontId="2" type="noConversion"/>
  </si>
  <si>
    <t>[표2]</t>
    <phoneticPr fontId="2" type="noConversion"/>
  </si>
  <si>
    <t>분류</t>
  </si>
  <si>
    <t>조건</t>
    <phoneticPr fontId="2" type="noConversion"/>
  </si>
  <si>
    <t>(모두)</t>
  </si>
  <si>
    <t>총합계</t>
  </si>
  <si>
    <t>합계 : 가격</t>
  </si>
  <si>
    <t>합계 : 페이지</t>
  </si>
  <si>
    <t>합계 : 단가</t>
  </si>
  <si>
    <t>1922-03-12 - 1932-03-08</t>
  </si>
  <si>
    <t>1932-03-09 - 1942-03-06</t>
  </si>
  <si>
    <t>1942-03-07 - 1952-03-03</t>
  </si>
  <si>
    <t>1962-03-02 - 1972-02-27</t>
  </si>
  <si>
    <t>1972-02-28 - 1982-02-24</t>
  </si>
  <si>
    <t>1982-02-25 - 1992-02-22</t>
  </si>
  <si>
    <t>1992-02-23 - 2000-10-28</t>
  </si>
  <si>
    <t>이름</t>
    <phoneticPr fontId="2" type="noConversion"/>
  </si>
  <si>
    <t>전화</t>
    <phoneticPr fontId="2" type="noConversion"/>
  </si>
  <si>
    <t>관계</t>
    <phoneticPr fontId="2" type="noConversion"/>
  </si>
  <si>
    <t>나이</t>
    <phoneticPr fontId="2" type="noConversion"/>
  </si>
  <si>
    <t>집</t>
    <phoneticPr fontId="2" type="noConversion"/>
  </si>
  <si>
    <t>종류</t>
    <phoneticPr fontId="2" type="noConversion"/>
  </si>
  <si>
    <t>번호</t>
    <phoneticPr fontId="2" type="noConversion"/>
  </si>
  <si>
    <t>홍길동</t>
  </si>
  <si>
    <t>사무실</t>
  </si>
  <si>
    <t>02-1111-2222</t>
  </si>
  <si>
    <t>직장</t>
  </si>
  <si>
    <t>25</t>
  </si>
  <si>
    <t>휴대폰</t>
    <phoneticPr fontId="2" type="noConversion"/>
  </si>
  <si>
    <t>[표3]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</si>
  <si>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</si>
  <si>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</si>
  <si>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</si>
  <si>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</si>
  <si>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</si>
  <si>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코드</t>
    <phoneticPr fontId="2" type="noConversion"/>
  </si>
  <si>
    <t>현금</t>
    <phoneticPr fontId="2" type="noConversion"/>
  </si>
  <si>
    <t>신용</t>
    <phoneticPr fontId="2" type="noConversion"/>
  </si>
  <si>
    <t>세금</t>
    <phoneticPr fontId="2" type="noConversion"/>
  </si>
  <si>
    <t>제휴</t>
    <phoneticPr fontId="2" type="noConversion"/>
  </si>
  <si>
    <t>성</t>
    <phoneticPr fontId="2" type="noConversion"/>
  </si>
  <si>
    <t>양 지웅</t>
    <phoneticPr fontId="2" type="noConversion"/>
  </si>
  <si>
    <t>최 수인</t>
    <phoneticPr fontId="2" type="noConversion"/>
  </si>
  <si>
    <t>김 영훈</t>
    <phoneticPr fontId="2" type="noConversion"/>
  </si>
  <si>
    <t>김 연오</t>
    <phoneticPr fontId="2" type="noConversion"/>
  </si>
  <si>
    <t>정 정애</t>
    <phoneticPr fontId="2" type="noConversion"/>
  </si>
  <si>
    <t>남 연</t>
    <phoneticPr fontId="2" type="noConversion"/>
  </si>
  <si>
    <t>김 현선</t>
    <phoneticPr fontId="2" type="noConversion"/>
  </si>
  <si>
    <t>이 은주</t>
    <phoneticPr fontId="2" type="noConversion"/>
  </si>
  <si>
    <t>정 화영</t>
    <phoneticPr fontId="2" type="noConversion"/>
  </si>
  <si>
    <t>정 화선</t>
    <phoneticPr fontId="2" type="noConversion"/>
  </si>
  <si>
    <t>박 세람</t>
    <phoneticPr fontId="2" type="noConversion"/>
  </si>
  <si>
    <t>추 영임</t>
    <phoneticPr fontId="2" type="noConversion"/>
  </si>
  <si>
    <t>김 우승</t>
    <phoneticPr fontId="2" type="noConversion"/>
  </si>
  <si>
    <t>인 수연</t>
    <phoneticPr fontId="2" type="noConversion"/>
  </si>
  <si>
    <t>정 유진</t>
    <phoneticPr fontId="2" type="noConversion"/>
  </si>
  <si>
    <t>김 지연</t>
    <phoneticPr fontId="2" type="noConversion"/>
  </si>
  <si>
    <t>인 수진</t>
    <phoneticPr fontId="2" type="noConversion"/>
  </si>
  <si>
    <t>정 영웅</t>
    <phoneticPr fontId="2" type="noConversion"/>
  </si>
  <si>
    <t>양 연영</t>
    <phoneticPr fontId="2" type="noConversion"/>
  </si>
  <si>
    <t>최 정연</t>
    <phoneticPr fontId="2" type="noConversion"/>
  </si>
  <si>
    <t>김 유람</t>
    <phoneticPr fontId="2" type="noConversion"/>
  </si>
  <si>
    <t>김 현임</t>
    <phoneticPr fontId="2" type="noConversion"/>
  </si>
  <si>
    <t>정 은승</t>
    <phoneticPr fontId="2" type="noConversion"/>
  </si>
  <si>
    <t>남 화연</t>
    <phoneticPr fontId="2" type="noConversion"/>
  </si>
  <si>
    <t>김 화훈</t>
    <phoneticPr fontId="2" type="noConversion"/>
  </si>
  <si>
    <t>이 세오</t>
    <phoneticPr fontId="2" type="noConversion"/>
  </si>
  <si>
    <t>정 영애</t>
    <phoneticPr fontId="2" type="noConversion"/>
  </si>
  <si>
    <t>정 우리</t>
    <phoneticPr fontId="2" type="noConversion"/>
  </si>
  <si>
    <t>박 수선</t>
    <phoneticPr fontId="2" type="noConversion"/>
  </si>
  <si>
    <t>추 유연</t>
    <phoneticPr fontId="2" type="noConversion"/>
  </si>
  <si>
    <t>양</t>
  </si>
  <si>
    <t>지웅</t>
  </si>
  <si>
    <t>최</t>
  </si>
  <si>
    <t>수인</t>
  </si>
  <si>
    <t>김</t>
  </si>
  <si>
    <t>영훈</t>
  </si>
  <si>
    <t>연오</t>
  </si>
  <si>
    <t>정</t>
  </si>
  <si>
    <t>정애</t>
  </si>
  <si>
    <t>남</t>
  </si>
  <si>
    <t>연</t>
  </si>
  <si>
    <t>현선</t>
  </si>
  <si>
    <t>이</t>
  </si>
  <si>
    <t>은주</t>
  </si>
  <si>
    <t>화영</t>
  </si>
  <si>
    <t>화선</t>
  </si>
  <si>
    <t>박</t>
  </si>
  <si>
    <t>세람</t>
  </si>
  <si>
    <t>추</t>
  </si>
  <si>
    <t>영임</t>
  </si>
  <si>
    <t>우승</t>
  </si>
  <si>
    <t>인</t>
  </si>
  <si>
    <t>수연</t>
  </si>
  <si>
    <t>유진</t>
  </si>
  <si>
    <t>지연</t>
  </si>
  <si>
    <t>수진</t>
  </si>
  <si>
    <t>영웅</t>
  </si>
  <si>
    <t>연영</t>
  </si>
  <si>
    <t>정연</t>
  </si>
  <si>
    <t>유람</t>
  </si>
  <si>
    <t>현임</t>
  </si>
  <si>
    <t>은승</t>
  </si>
  <si>
    <t>화연</t>
  </si>
  <si>
    <t>화훈</t>
  </si>
  <si>
    <t>세오</t>
  </si>
  <si>
    <t>영애</t>
  </si>
  <si>
    <t>우리</t>
  </si>
  <si>
    <t>수선</t>
  </si>
  <si>
    <t>유연</t>
  </si>
  <si>
    <t>일(출판일)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</si>
</sst>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yy/mm/dd"/>
    <numFmt numFmtId="177" formatCode="_-* #,##0.0_-;\-* #,##0.0_-;_-* &quot;-&quot;_-;_-@_-"/>
    <numFmt numFmtId="178" formatCode="[Red][&gt;=8]General;[Blue][&lt;8]General"/>
  </numFmts>
  <fonts count="7">
    <font>
      <sz val="11"/>
      <name val="돋움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2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2" xfId="0" applyFont="1" applyBorder="1" applyAlignment="1">
      <alignment horizontal="center" vertical="center"/>
    </xf>
    <xf numFmtId="176" fontId="3" fillId="0" borderId="1" xfId="2" applyNumberFormat="1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41" fontId="3" fillId="0" borderId="1" xfId="2" applyFont="1" applyBorder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left" vertical="center"/>
    </xf>
    <xf numFmtId="177" fontId="3" fillId="0" borderId="1" xfId="2" applyNumberFormat="1" applyFont="1" applyBorder="1">
      <alignment vertical="center"/>
    </xf>
    <xf numFmtId="177" fontId="3" fillId="0" borderId="1" xfId="2" applyNumberFormat="1" applyFont="1" applyBorder="1" applyAlignment="1">
      <alignment horizontal="right" vertical="center"/>
    </xf>
    <xf numFmtId="41" fontId="3" fillId="0" borderId="1" xfId="2" applyFont="1" applyBorder="1" applyProtection="1">
      <alignment vertical="center"/>
      <protection hidden="1"/>
    </xf>
    <xf numFmtId="0" fontId="3" fillId="0" borderId="0" xfId="0" applyFont="1" applyAlignment="1">
      <alignment horizontal="center" vertical="center"/>
    </xf>
    <xf numFmtId="41" fontId="3" fillId="0" borderId="1" xfId="0" applyNumberFormat="1" applyFont="1" applyBorder="1">
      <alignment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Fill="1" applyBorder="1">
      <alignment vertical="center"/>
    </xf>
    <xf numFmtId="41" fontId="3" fillId="0" borderId="0" xfId="0" applyNumberFormat="1" applyFont="1">
      <alignment vertical="center"/>
    </xf>
    <xf numFmtId="9" fontId="3" fillId="0" borderId="1" xfId="1" applyFont="1" applyFill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0" fontId="3" fillId="0" borderId="0" xfId="3" applyFont="1">
      <alignment vertical="center"/>
    </xf>
    <xf numFmtId="0" fontId="3" fillId="0" borderId="1" xfId="3" applyFont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0" borderId="1" xfId="3" applyFont="1" applyBorder="1">
      <alignment vertical="center"/>
    </xf>
    <xf numFmtId="178" fontId="3" fillId="0" borderId="1" xfId="2" applyNumberFormat="1" applyFont="1" applyBorder="1">
      <alignment vertical="center"/>
    </xf>
    <xf numFmtId="0" fontId="3" fillId="0" borderId="1" xfId="3" applyFont="1" applyBorder="1" applyAlignment="1">
      <alignment horizontal="center" vertical="center"/>
    </xf>
  </cellXfs>
  <cellStyles count="4">
    <cellStyle name="백분율" xfId="1" builtinId="5"/>
    <cellStyle name="쉼표 [0]" xfId="2" builtinId="6"/>
    <cellStyle name="표준" xfId="0" builtinId="0"/>
    <cellStyle name="표준 2" xfId="3" xr:uid="{00000000-0005-0000-0000-000003000000}"/>
  </cellStyles>
  <dxfs count="4">
    <dxf>
      <numFmt numFmtId="33" formatCode="_-* #,##0_-;\-* #,##0_-;_-* &quot;-&quot;_-;_-@_-"/>
    </dxf>
    <dxf>
      <font>
        <color rgb="FF9C0006"/>
      </font>
      <fill>
        <patternFill>
          <bgColor rgb="FFFFC7CE"/>
        </patternFill>
      </fill>
    </dxf>
    <dxf>
      <font>
        <b val="0"/>
        <i/>
        <color rgb="FFFF0000"/>
      </font>
    </dxf>
    <dxf>
      <fill>
        <patternFill patternType="solid">
          <fgColor rgb="FFFFC7CE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'기본작업-2'!$H$3</c:f>
              <c:strCache>
                <c:ptCount val="1"/>
                <c:pt idx="0">
                  <c:v>1일당벌금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'기본작업-2'!$C$4:$C$9</c:f>
              <c:strCache>
                <c:ptCount val="6"/>
                <c:pt idx="0">
                  <c:v>양지웅</c:v>
                </c:pt>
                <c:pt idx="1">
                  <c:v>최수인</c:v>
                </c:pt>
                <c:pt idx="2">
                  <c:v>김영훈</c:v>
                </c:pt>
                <c:pt idx="3">
                  <c:v>김연오</c:v>
                </c:pt>
                <c:pt idx="4">
                  <c:v>정정애</c:v>
                </c:pt>
                <c:pt idx="5">
                  <c:v>남미연</c:v>
                </c:pt>
              </c:strCache>
            </c:strRef>
          </c:cat>
          <c:val>
            <c:numRef>
              <c:f>'기본작업-2'!$H$4:$H$9</c:f>
              <c:numCache>
                <c:formatCode>_(* #,##0_);_(* \(#,##0\);_(* "-"_);_(@_)</c:formatCode>
                <c:ptCount val="6"/>
                <c:pt idx="0">
                  <c:v>1200</c:v>
                </c:pt>
                <c:pt idx="1">
                  <c:v>1200</c:v>
                </c:pt>
                <c:pt idx="2">
                  <c:v>1500</c:v>
                </c:pt>
                <c:pt idx="3">
                  <c:v>1200</c:v>
                </c:pt>
                <c:pt idx="4">
                  <c:v>1500</c:v>
                </c:pt>
                <c:pt idx="5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19-4357-BD87-E40704B9D676}"/>
            </c:ext>
          </c:extLst>
        </c:ser>
        <c:ser>
          <c:idx val="1"/>
          <c:order val="1"/>
          <c:tx>
            <c:strRef>
              <c:f>'기본작업-2'!$I$3</c:f>
              <c:strCache>
                <c:ptCount val="1"/>
                <c:pt idx="0">
                  <c:v>벌금총액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'기본작업-2'!$C$4:$C$9</c:f>
              <c:strCache>
                <c:ptCount val="6"/>
                <c:pt idx="0">
                  <c:v>양지웅</c:v>
                </c:pt>
                <c:pt idx="1">
                  <c:v>최수인</c:v>
                </c:pt>
                <c:pt idx="2">
                  <c:v>김영훈</c:v>
                </c:pt>
                <c:pt idx="3">
                  <c:v>김연오</c:v>
                </c:pt>
                <c:pt idx="4">
                  <c:v>정정애</c:v>
                </c:pt>
                <c:pt idx="5">
                  <c:v>남미연</c:v>
                </c:pt>
              </c:strCache>
            </c:strRef>
          </c:cat>
          <c:val>
            <c:numRef>
              <c:f>'기본작업-2'!$I$4:$I$9</c:f>
              <c:numCache>
                <c:formatCode>_(* #,##0_);_(* \(#,##0\);_(* "-"_);_(@_)</c:formatCode>
                <c:ptCount val="6"/>
                <c:pt idx="0">
                  <c:v>4800</c:v>
                </c:pt>
                <c:pt idx="1">
                  <c:v>6000</c:v>
                </c:pt>
                <c:pt idx="2">
                  <c:v>10500</c:v>
                </c:pt>
                <c:pt idx="3">
                  <c:v>4800</c:v>
                </c:pt>
                <c:pt idx="4">
                  <c:v>12000</c:v>
                </c:pt>
                <c:pt idx="5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9-4357-BD87-E40704B9D67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550684591"/>
        <c:axId val="1550695407"/>
      </c:barChart>
      <c:catAx>
        <c:axId val="1550684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0695407"/>
        <c:crosses val="autoZero"/>
        <c:auto val="1"/>
        <c:lblAlgn val="ctr"/>
        <c:lblOffset val="100"/>
        <c:noMultiLvlLbl val="0"/>
      </c:catAx>
      <c:valAx>
        <c:axId val="1550695407"/>
        <c:scaling>
          <c:orientation val="minMax"/>
        </c:scaling>
        <c:delete val="1"/>
        <c:axPos val="l"/>
        <c:numFmt formatCode="_(* #,##0_);_(* \(#,##0\);_(* &quot;-&quot;_);_(@_)" sourceLinked="1"/>
        <c:majorTickMark val="none"/>
        <c:minorTickMark val="none"/>
        <c:tickLblPos val="nextTo"/>
        <c:crossAx val="1550684591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r>
              <a:rPr lang="ko-KR"/>
              <a:t>시장후보 결정방법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굴림" panose="020B0600000101010101" pitchFamily="50" charset="-127"/>
              <a:ea typeface="굴림" panose="020B0600000101010101" pitchFamily="50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'기타작업-1'!$B$5</c:f>
              <c:strCache>
                <c:ptCount val="1"/>
                <c:pt idx="0">
                  <c:v>20대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'기타작업-1'!$C$4:$H$4</c:f>
              <c:strCache>
                <c:ptCount val="6"/>
                <c:pt idx="0">
                  <c:v>언론보도</c:v>
                </c:pt>
                <c:pt idx="1">
                  <c:v>대담</c:v>
                </c:pt>
                <c:pt idx="2">
                  <c:v>인터넷</c:v>
                </c:pt>
                <c:pt idx="3">
                  <c:v>홍보물</c:v>
                </c:pt>
                <c:pt idx="4">
                  <c:v>후보유세</c:v>
                </c:pt>
                <c:pt idx="5">
                  <c:v>무응답</c:v>
                </c:pt>
              </c:strCache>
            </c:strRef>
          </c:cat>
          <c:val>
            <c:numRef>
              <c:f>'기타작업-1'!$C$5:$H$5</c:f>
              <c:numCache>
                <c:formatCode>_-* #,##0.0_-;\-* #,##0.0_-;_-* "-"_-;_-@_-</c:formatCode>
                <c:ptCount val="6"/>
                <c:pt idx="0">
                  <c:v>27.9</c:v>
                </c:pt>
                <c:pt idx="1">
                  <c:v>24.3</c:v>
                </c:pt>
                <c:pt idx="2">
                  <c:v>21.1</c:v>
                </c:pt>
                <c:pt idx="3">
                  <c:v>11.1</c:v>
                </c:pt>
                <c:pt idx="4">
                  <c:v>8.8000000000000007</c:v>
                </c:pt>
                <c:pt idx="5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1A-4987-A06E-2CDD1F86C808}"/>
            </c:ext>
          </c:extLst>
        </c:ser>
        <c:ser>
          <c:idx val="2"/>
          <c:order val="1"/>
          <c:tx>
            <c:strRef>
              <c:f>'기타작업-1'!$B$7</c:f>
              <c:strCache>
                <c:ptCount val="1"/>
                <c:pt idx="0">
                  <c:v>40대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'기타작업-1'!$C$4:$H$4</c:f>
              <c:strCache>
                <c:ptCount val="6"/>
                <c:pt idx="0">
                  <c:v>언론보도</c:v>
                </c:pt>
                <c:pt idx="1">
                  <c:v>대담</c:v>
                </c:pt>
                <c:pt idx="2">
                  <c:v>인터넷</c:v>
                </c:pt>
                <c:pt idx="3">
                  <c:v>홍보물</c:v>
                </c:pt>
                <c:pt idx="4">
                  <c:v>후보유세</c:v>
                </c:pt>
                <c:pt idx="5">
                  <c:v>무응답</c:v>
                </c:pt>
              </c:strCache>
            </c:strRef>
          </c:cat>
          <c:val>
            <c:numRef>
              <c:f>'기타작업-1'!$C$7:$H$7</c:f>
              <c:numCache>
                <c:formatCode>_-* #,##0.0_-;\-* #,##0.0_-;_-* "-"_-;_-@_-</c:formatCode>
                <c:ptCount val="6"/>
                <c:pt idx="0">
                  <c:v>30.7</c:v>
                </c:pt>
                <c:pt idx="1">
                  <c:v>25.6</c:v>
                </c:pt>
                <c:pt idx="2">
                  <c:v>9.9</c:v>
                </c:pt>
                <c:pt idx="3">
                  <c:v>8.5</c:v>
                </c:pt>
                <c:pt idx="4">
                  <c:v>19.899999999999999</c:v>
                </c:pt>
                <c:pt idx="5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1A-4987-A06E-2CDD1F86C808}"/>
            </c:ext>
          </c:extLst>
        </c:ser>
        <c:ser>
          <c:idx val="4"/>
          <c:order val="2"/>
          <c:tx>
            <c:strRef>
              <c:f>'기타작업-1'!$B$9</c:f>
              <c:strCache>
                <c:ptCount val="1"/>
                <c:pt idx="0">
                  <c:v>60세이상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'기타작업-1'!$C$4:$H$4</c:f>
              <c:strCache>
                <c:ptCount val="6"/>
                <c:pt idx="0">
                  <c:v>언론보도</c:v>
                </c:pt>
                <c:pt idx="1">
                  <c:v>대담</c:v>
                </c:pt>
                <c:pt idx="2">
                  <c:v>인터넷</c:v>
                </c:pt>
                <c:pt idx="3">
                  <c:v>홍보물</c:v>
                </c:pt>
                <c:pt idx="4">
                  <c:v>후보유세</c:v>
                </c:pt>
                <c:pt idx="5">
                  <c:v>무응답</c:v>
                </c:pt>
              </c:strCache>
            </c:strRef>
          </c:cat>
          <c:val>
            <c:numRef>
              <c:f>'기타작업-1'!$C$9:$H$9</c:f>
              <c:numCache>
                <c:formatCode>_-* #,##0.0_-;\-* #,##0.0_-;_-* "-"_-;_-@_-</c:formatCode>
                <c:ptCount val="6"/>
                <c:pt idx="0">
                  <c:v>19.899999999999999</c:v>
                </c:pt>
                <c:pt idx="1">
                  <c:v>16.100000000000001</c:v>
                </c:pt>
                <c:pt idx="2">
                  <c:v>2.1</c:v>
                </c:pt>
                <c:pt idx="3">
                  <c:v>20.2</c:v>
                </c:pt>
                <c:pt idx="4">
                  <c:v>36.200000000000003</c:v>
                </c:pt>
                <c:pt idx="5">
                  <c:v>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E1A-4987-A06E-2CDD1F86C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702063"/>
        <c:axId val="1550691247"/>
      </c:barChart>
      <c:lineChart>
        <c:grouping val="standard"/>
        <c:varyColors val="0"/>
        <c:ser>
          <c:idx val="5"/>
          <c:order val="3"/>
          <c:tx>
            <c:strRef>
              <c:f>'기타작업-1'!$B$10</c:f>
              <c:strCache>
                <c:ptCount val="1"/>
                <c:pt idx="0">
                  <c:v>전체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굴림" panose="020B0600000101010101" pitchFamily="50" charset="-127"/>
                    <a:ea typeface="굴림" panose="020B0600000101010101" pitchFamily="50" charset="-127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'기타작업-1'!$C$4:$H$4</c:f>
              <c:strCache>
                <c:ptCount val="6"/>
                <c:pt idx="0">
                  <c:v>언론보도</c:v>
                </c:pt>
                <c:pt idx="1">
                  <c:v>대담</c:v>
                </c:pt>
                <c:pt idx="2">
                  <c:v>인터넷</c:v>
                </c:pt>
                <c:pt idx="3">
                  <c:v>홍보물</c:v>
                </c:pt>
                <c:pt idx="4">
                  <c:v>후보유세</c:v>
                </c:pt>
                <c:pt idx="5">
                  <c:v>무응답</c:v>
                </c:pt>
              </c:strCache>
            </c:strRef>
          </c:cat>
          <c:val>
            <c:numRef>
              <c:f>'기타작업-1'!$C$10:$H$10</c:f>
              <c:numCache>
                <c:formatCode>_-* #,##0.0_-;\-* #,##0.0_-;_-* "-"_-;_-@_-</c:formatCode>
                <c:ptCount val="6"/>
                <c:pt idx="0">
                  <c:v>140</c:v>
                </c:pt>
                <c:pt idx="1">
                  <c:v>121.80000000000001</c:v>
                </c:pt>
                <c:pt idx="2">
                  <c:v>54.3</c:v>
                </c:pt>
                <c:pt idx="3">
                  <c:v>52.400000000000006</c:v>
                </c:pt>
                <c:pt idx="4">
                  <c:v>104.60000000000001</c:v>
                </c:pt>
                <c:pt idx="5">
                  <c:v>26.9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E1A-4987-A06E-2CDD1F86C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7980208"/>
        <c:axId val="1197985200"/>
      </c:lineChart>
      <c:catAx>
        <c:axId val="15507020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굴림" panose="020B0600000101010101" pitchFamily="50" charset="-127"/>
                    <a:ea typeface="굴림" panose="020B0600000101010101" pitchFamily="50" charset="-127"/>
                    <a:cs typeface="+mn-cs"/>
                  </a:defRPr>
                </a:pPr>
                <a:r>
                  <a:rPr lang="ko-KR"/>
                  <a:t>방법</a:t>
                </a:r>
                <a:r>
                  <a:rPr lang="en-US"/>
                  <a:t>/</a:t>
                </a:r>
                <a:r>
                  <a:rPr lang="ko-KR"/>
                  <a:t>연령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굴림" panose="020B0600000101010101" pitchFamily="50" charset="-127"/>
                  <a:ea typeface="굴림" panose="020B0600000101010101" pitchFamily="50" charset="-127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endParaRPr lang="ko-KR"/>
          </a:p>
        </c:txPr>
        <c:crossAx val="1550691247"/>
        <c:crosses val="autoZero"/>
        <c:auto val="1"/>
        <c:lblAlgn val="ctr"/>
        <c:lblOffset val="100"/>
        <c:noMultiLvlLbl val="0"/>
      </c:catAx>
      <c:valAx>
        <c:axId val="1550691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굴림" panose="020B0600000101010101" pitchFamily="50" charset="-127"/>
                    <a:ea typeface="굴림" panose="020B0600000101010101" pitchFamily="50" charset="-127"/>
                    <a:cs typeface="+mn-cs"/>
                  </a:defRPr>
                </a:pPr>
                <a:r>
                  <a:rPr lang="ko-KR"/>
                  <a:t>비율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굴림" panose="020B0600000101010101" pitchFamily="50" charset="-127"/>
                  <a:ea typeface="굴림" panose="020B0600000101010101" pitchFamily="50" charset="-127"/>
                  <a:cs typeface="+mn-cs"/>
                </a:defRPr>
              </a:pPr>
              <a:endParaRPr lang="ko-KR"/>
            </a:p>
          </c:txPr>
        </c:title>
        <c:numFmt formatCode="_-* #,##0.0_-;\-* #,##0.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endParaRPr lang="ko-KR"/>
          </a:p>
        </c:txPr>
        <c:crossAx val="1550702063"/>
        <c:crosses val="autoZero"/>
        <c:crossBetween val="between"/>
      </c:valAx>
      <c:valAx>
        <c:axId val="1197985200"/>
        <c:scaling>
          <c:orientation val="minMax"/>
        </c:scaling>
        <c:delete val="0"/>
        <c:axPos val="r"/>
        <c:numFmt formatCode="_-* #,##0.0_-;\-* #,##0.0_-;_-* &quot;-&quot;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endParaRPr lang="ko-KR"/>
          </a:p>
        </c:txPr>
        <c:crossAx val="1197980208"/>
        <c:crosses val="max"/>
        <c:crossBetween val="between"/>
      </c:valAx>
      <c:catAx>
        <c:axId val="1197980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7985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굴림" panose="020B0600000101010101" pitchFamily="50" charset="-127"/>
              <a:ea typeface="굴림" panose="020B0600000101010101" pitchFamily="50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굴림" panose="020B0600000101010101" pitchFamily="50" charset="-127"/>
          <a:ea typeface="굴림" panose="020B0600000101010101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205740</xdr:rowOff>
    </xdr:from>
    <xdr:to>
      <xdr:col>17</xdr:col>
      <xdr:colOff>548640</xdr:colOff>
      <xdr:row>14</xdr:row>
      <xdr:rowOff>76200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11</xdr:row>
      <xdr:rowOff>7620</xdr:rowOff>
    </xdr:from>
    <xdr:to>
      <xdr:col>8</xdr:col>
      <xdr:colOff>0</xdr:colOff>
      <xdr:row>32</xdr:row>
      <xdr:rowOff>91440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5</xdr:row>
          <xdr:rowOff>95250</xdr:rowOff>
        </xdr:from>
        <xdr:to>
          <xdr:col>8</xdr:col>
          <xdr:colOff>152400</xdr:colOff>
          <xdr:row>7</xdr:row>
          <xdr:rowOff>57150</xdr:rowOff>
        </xdr:to>
        <xdr:sp macro="" textlink="">
          <xdr:nvSpPr>
            <xdr:cNvPr id="11265" name="Cmd연락처실행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진원" refreshedDate="45231.634324537037" backgroundQuery="1" createdVersion="8" refreshedVersion="8" minRefreshableVersion="3" recordCount="20" xr:uid="{83757C3D-D151-4715-9505-94A35FFA76A6}">
  <cacheSource type="external" connectionId="2"/>
  <cacheFields count="10">
    <cacheField name="도서명" numFmtId="0" sqlType="-9">
      <sharedItems count="20">
        <s v="남극탐구"/>
        <s v="내일"/>
        <s v="달나라여행"/>
        <s v="댄스종류"/>
        <s v="만화로보는"/>
        <s v="블란서어"/>
        <s v="생태계"/>
        <s v="신세계"/>
        <s v="아시아여행"/>
        <s v="영어"/>
        <s v="유럽기행"/>
        <s v="유채화"/>
        <s v="음악사"/>
        <s v="이데올로기"/>
        <s v="정치연구"/>
        <s v="종교생활"/>
        <s v="종교연구"/>
        <s v="지구"/>
        <s v="철학자"/>
        <s v="행위예술"/>
      </sharedItems>
    </cacheField>
    <cacheField name="출판일" numFmtId="0" sqlType="11">
      <sharedItems containsSemiMixedTypes="0" containsNonDate="0" containsDate="1" containsString="0" minDate="1922-03-12T00:00:00" maxDate="2000-10-28T00:00:00" count="20">
        <d v="1922-03-12T00:00:00"/>
        <d v="1994-06-10T00:00:00"/>
        <d v="2000-03-06T00:00:00"/>
        <d v="1952-03-03T00:00:00"/>
        <d v="1972-02-27T00:00:00"/>
        <d v="1962-03-02T00:00:00"/>
        <d v="1982-02-25T00:00:00"/>
        <d v="1942-03-07T00:00:00"/>
        <d v="1992-02-22T00:00:00"/>
        <d v="2000-10-27T00:00:00"/>
        <d v="1930-04-08T00:00:00"/>
        <d v="1938-12-17T00:00:00"/>
        <d v="1948-03-01T00:00:00"/>
        <d v="1975-06-14T00:00:00"/>
        <d v="1980-05-18T00:00:00"/>
        <d v="1985-02-24T00:00:00"/>
        <d v="2000-03-14T00:00:00"/>
        <d v="1995-08-08T00:00:00"/>
        <d v="1998-08-18T00:00:00"/>
        <d v="1933-09-04T00:00:00"/>
      </sharedItems>
      <fieldGroup par="8"/>
    </cacheField>
    <cacheField name="분류" numFmtId="0" sqlType="-9">
      <sharedItems count="9">
        <s v="역사,지리.관광"/>
        <s v="순수과학"/>
        <s v="기술과학"/>
        <s v="예술"/>
        <s v="문학"/>
        <s v="언어"/>
        <s v="사회과학"/>
        <s v="총류"/>
        <s v="종교"/>
      </sharedItems>
    </cacheField>
    <cacheField name="출판사" numFmtId="0" sqlType="-9">
      <sharedItems count="6">
        <s v="보통출판"/>
        <s v="우수도서"/>
        <s v="상공출판사"/>
        <s v="최고출판사"/>
        <s v="도서출판미안"/>
        <s v="교양도서"/>
      </sharedItems>
    </cacheField>
    <cacheField name="저자" numFmtId="0" sqlType="-9">
      <sharedItems count="20">
        <s v="양연영"/>
        <s v="최정선"/>
        <s v="남유리"/>
        <s v="김현임"/>
        <s v="정유진"/>
        <s v="정우리"/>
        <s v="박세람"/>
        <s v="정영웅"/>
        <s v="정화선"/>
        <s v="이은주"/>
        <s v="김지연"/>
        <s v="정영애"/>
        <s v="김우승"/>
        <s v="김연오"/>
        <s v="정은승"/>
        <s v="김화훈"/>
        <s v="김영훈"/>
        <s v="추유주"/>
        <s v="양지웅"/>
        <s v="김현선"/>
      </sharedItems>
    </cacheField>
    <cacheField name="가격" numFmtId="0" sqlType="8">
      <sharedItems containsSemiMixedTypes="0" containsString="0" containsNumber="1" containsInteger="1" minValue="5390" maxValue="30000" count="20">
        <n v="16200"/>
        <n v="7820"/>
        <n v="8830"/>
        <n v="5390"/>
        <n v="15000"/>
        <n v="15500"/>
        <n v="19200"/>
        <n v="25600"/>
        <n v="21200"/>
        <n v="7890"/>
        <n v="14700"/>
        <n v="11330"/>
        <n v="30000"/>
        <n v="5400"/>
        <n v="11990"/>
        <n v="23300"/>
        <n v="9800"/>
        <n v="17770"/>
        <n v="12000"/>
        <n v="12100"/>
      </sharedItems>
    </cacheField>
    <cacheField name="페이지" numFmtId="0" sqlType="8">
      <sharedItems containsSemiMixedTypes="0" containsString="0" containsNumber="1" containsInteger="1" minValue="43" maxValue="230" count="18">
        <n v="44"/>
        <n v="65"/>
        <n v="58"/>
        <n v="98"/>
        <n v="45"/>
        <n v="99"/>
        <n v="55"/>
        <n v="46"/>
        <n v="160"/>
        <n v="76"/>
        <n v="78"/>
        <n v="230"/>
        <n v="95"/>
        <n v="43"/>
        <n v="200"/>
        <n v="91"/>
        <n v="67"/>
        <n v="84"/>
      </sharedItems>
    </cacheField>
    <cacheField name="권장" numFmtId="0" sqlType="-9">
      <sharedItems count="3">
        <s v="전체"/>
        <s v="아동"/>
        <s v="청소년"/>
      </sharedItems>
    </cacheField>
    <cacheField name="일(출판일)" numFmtId="0" databaseField="0">
      <fieldGroup base="1">
        <rangePr groupBy="days" startDate="1922-03-12T00:00:00" endDate="2000-10-28T00:00:00" groupInterval="3650"/>
        <groupItems count="10">
          <s v="&lt;1922-03-12"/>
          <s v="1922-03-12 - 1932-03-08"/>
          <s v="1932-03-09 - 1942-03-06"/>
          <s v="1942-03-07 - 1952-03-03"/>
          <s v="1952-03-04 - 1962-03-01"/>
          <s v="1962-03-02 - 1972-02-27"/>
          <s v="1972-02-28 - 1982-02-24"/>
          <s v="1982-02-25 - 1992-02-22"/>
          <s v="1992-02-23 - 2000-10-28"/>
          <s v="&gt;2000-10-28"/>
        </groupItems>
      </fieldGroup>
    </cacheField>
    <cacheField name="단가" numFmtId="0" formula="가격 /페이지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  <x v="0"/>
    <x v="0"/>
    <x v="0"/>
    <x v="0"/>
    <x v="0"/>
  </r>
  <r>
    <x v="1"/>
    <x v="1"/>
    <x v="1"/>
    <x v="1"/>
    <x v="1"/>
    <x v="1"/>
    <x v="1"/>
    <x v="1"/>
  </r>
  <r>
    <x v="2"/>
    <x v="2"/>
    <x v="2"/>
    <x v="2"/>
    <x v="2"/>
    <x v="2"/>
    <x v="2"/>
    <x v="2"/>
  </r>
  <r>
    <x v="3"/>
    <x v="3"/>
    <x v="3"/>
    <x v="2"/>
    <x v="3"/>
    <x v="3"/>
    <x v="3"/>
    <x v="2"/>
  </r>
  <r>
    <x v="4"/>
    <x v="4"/>
    <x v="4"/>
    <x v="1"/>
    <x v="4"/>
    <x v="4"/>
    <x v="4"/>
    <x v="2"/>
  </r>
  <r>
    <x v="5"/>
    <x v="5"/>
    <x v="5"/>
    <x v="3"/>
    <x v="5"/>
    <x v="5"/>
    <x v="5"/>
    <x v="0"/>
  </r>
  <r>
    <x v="6"/>
    <x v="6"/>
    <x v="1"/>
    <x v="4"/>
    <x v="6"/>
    <x v="6"/>
    <x v="6"/>
    <x v="0"/>
  </r>
  <r>
    <x v="7"/>
    <x v="7"/>
    <x v="4"/>
    <x v="3"/>
    <x v="7"/>
    <x v="7"/>
    <x v="7"/>
    <x v="2"/>
  </r>
  <r>
    <x v="8"/>
    <x v="8"/>
    <x v="0"/>
    <x v="3"/>
    <x v="8"/>
    <x v="8"/>
    <x v="8"/>
    <x v="2"/>
  </r>
  <r>
    <x v="9"/>
    <x v="9"/>
    <x v="5"/>
    <x v="5"/>
    <x v="9"/>
    <x v="9"/>
    <x v="9"/>
    <x v="1"/>
  </r>
  <r>
    <x v="10"/>
    <x v="10"/>
    <x v="0"/>
    <x v="5"/>
    <x v="10"/>
    <x v="10"/>
    <x v="3"/>
    <x v="0"/>
  </r>
  <r>
    <x v="11"/>
    <x v="11"/>
    <x v="3"/>
    <x v="2"/>
    <x v="11"/>
    <x v="11"/>
    <x v="10"/>
    <x v="2"/>
  </r>
  <r>
    <x v="12"/>
    <x v="12"/>
    <x v="3"/>
    <x v="1"/>
    <x v="12"/>
    <x v="12"/>
    <x v="11"/>
    <x v="2"/>
  </r>
  <r>
    <x v="13"/>
    <x v="13"/>
    <x v="6"/>
    <x v="1"/>
    <x v="13"/>
    <x v="13"/>
    <x v="12"/>
    <x v="0"/>
  </r>
  <r>
    <x v="14"/>
    <x v="14"/>
    <x v="7"/>
    <x v="3"/>
    <x v="14"/>
    <x v="14"/>
    <x v="13"/>
    <x v="0"/>
  </r>
  <r>
    <x v="15"/>
    <x v="15"/>
    <x v="8"/>
    <x v="0"/>
    <x v="15"/>
    <x v="15"/>
    <x v="14"/>
    <x v="1"/>
  </r>
  <r>
    <x v="16"/>
    <x v="16"/>
    <x v="8"/>
    <x v="0"/>
    <x v="16"/>
    <x v="16"/>
    <x v="4"/>
    <x v="2"/>
  </r>
  <r>
    <x v="17"/>
    <x v="17"/>
    <x v="0"/>
    <x v="0"/>
    <x v="17"/>
    <x v="17"/>
    <x v="15"/>
    <x v="2"/>
  </r>
  <r>
    <x v="18"/>
    <x v="18"/>
    <x v="7"/>
    <x v="3"/>
    <x v="18"/>
    <x v="18"/>
    <x v="16"/>
    <x v="1"/>
  </r>
  <r>
    <x v="19"/>
    <x v="19"/>
    <x v="3"/>
    <x v="1"/>
    <x v="19"/>
    <x v="19"/>
    <x v="1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58B51B-B6DC-4E3E-B614-477CB0E1CB72}" name="피벗 테이블3" cacheId="18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compact="0" outline="1" outlineData="1" compactData="0" multipleFieldFilters="0" fieldListSortAscending="1">
  <location ref="B3:E11" firstHeaderRow="0" firstDataRow="1" firstDataCol="1" rowPageCount="1" colPageCount="1"/>
  <pivotFields count="10">
    <pivotField compact="0" showAll="0"/>
    <pivotField compact="0" showAll="0">
      <items count="21">
        <item x="0"/>
        <item x="10"/>
        <item x="19"/>
        <item x="11"/>
        <item x="7"/>
        <item x="12"/>
        <item x="3"/>
        <item x="5"/>
        <item x="4"/>
        <item x="13"/>
        <item x="14"/>
        <item x="6"/>
        <item x="15"/>
        <item x="8"/>
        <item x="1"/>
        <item x="17"/>
        <item x="18"/>
        <item x="2"/>
        <item x="16"/>
        <item x="9"/>
        <item t="default"/>
      </items>
    </pivotField>
    <pivotField axis="axisPage" compact="0" showAll="0">
      <items count="10">
        <item x="2"/>
        <item x="4"/>
        <item x="6"/>
        <item x="1"/>
        <item x="5"/>
        <item x="0"/>
        <item x="3"/>
        <item x="8"/>
        <item x="7"/>
        <item t="default"/>
      </items>
    </pivotField>
    <pivotField compact="0" showAll="0"/>
    <pivotField compact="0" showAll="0"/>
    <pivotField dataField="1" compact="0" showAll="0"/>
    <pivotField dataField="1" compact="0" showAll="0"/>
    <pivotField compact="0" showAll="0"/>
    <pivotField axis="axisRow" compact="0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compact="0" dragToRow="0" dragToCol="0" dragToPage="0" showAll="0" defaultSubtotal="0"/>
  </pivotFields>
  <rowFields count="1">
    <field x="8"/>
  </rowFields>
  <rowItems count="8">
    <i>
      <x v="1"/>
    </i>
    <i>
      <x v="2"/>
    </i>
    <i>
      <x v="3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2" hier="-1"/>
  </pageFields>
  <dataFields count="3">
    <dataField name="합계 : 가격" fld="5" baseField="0" baseItem="0"/>
    <dataField name="합계 : 페이지" fld="6" baseField="0" baseItem="0"/>
    <dataField name="합계 : 단가" fld="9" baseField="0" baseItem="0"/>
  </dataFields>
  <formats count="1">
    <format dxfId="0">
      <pivotArea outline="0" collapsedLevelsAreSubtotals="1" fieldPosition="0"/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externalLinkPath" Target="file:///H:\03.&#52636;&#54032;&#49324;2\00.&#50500;&#52852;&#45936;&#48120;&#49548;&#54532;&#53944;\01.&#52980;&#54876;1&#44553;&#49892;&#44592;\01.&#50896;&#44256;\02.&#47784;&#51032;&#44256;&#49324;2&#54924;\&#47784;&#51032;&#44256;&#49324;2&#54924;_&#51221;&#45813;1.xlsm" TargetMode="External"/><Relationship Id="rId2" Type="http://schemas.openxmlformats.org/officeDocument/2006/relationships/externalLinkPath" Target="file:///H:\03.&#52636;&#54032;&#49324;2\00.&#50500;&#52852;&#45936;&#48120;&#49548;&#54532;&#53944;\01.&#52980;&#54876;1&#44553;&#49892;&#44592;\01.&#50896;&#44256;\02.&#47784;&#51032;&#44256;&#49324;2&#54924;\&#47784;&#51032;&#44256;&#49324;2&#54924;_&#51221;&#45813;1.xlsm" TargetMode="External"/><Relationship Id="rId1" Type="http://schemas.openxmlformats.org/officeDocument/2006/relationships/externalLinkPath" Target="file:///H:\03.&#52636;&#54032;&#49324;2\00.&#50500;&#52852;&#45936;&#48120;&#49548;&#54532;&#53944;\01.&#52980;&#54876;1&#44553;&#49892;&#44592;\01.&#50896;&#44256;\02.&#47784;&#51032;&#44256;&#49324;2&#54924;\&#47784;&#51032;&#44256;&#49324;2&#54924;_&#51221;&#45813;1.xlsm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J48"/>
  <sheetViews>
    <sheetView tabSelected="1" workbookViewId="0"/>
  </sheetViews>
  <sheetFormatPr defaultColWidth="8.77734375" defaultRowHeight="16.5"/>
  <cols>
    <col min="1" max="4" width="8.77734375" style="1"/>
    <col min="5" max="5" width="9.88671875" style="1" customWidth="1"/>
    <col min="6" max="6" width="11.5546875" style="1" bestFit="1" customWidth="1"/>
    <col min="7" max="7" width="12.109375" style="1" customWidth="1"/>
    <col min="8" max="16384" width="8.77734375" style="1"/>
  </cols>
  <sheetData>
    <row r="2" spans="1:10">
      <c r="A2" s="1" t="s">
        <v>113</v>
      </c>
    </row>
    <row r="3" spans="1:10">
      <c r="A3" s="2" t="s">
        <v>0</v>
      </c>
      <c r="B3" s="3" t="s">
        <v>1</v>
      </c>
      <c r="C3" s="3" t="s">
        <v>2</v>
      </c>
      <c r="D3" s="3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2" t="s">
        <v>8</v>
      </c>
      <c r="J3" s="2" t="s">
        <v>9</v>
      </c>
    </row>
    <row r="4" spans="1:10">
      <c r="A4" s="2">
        <v>1</v>
      </c>
      <c r="B4" s="3" t="s">
        <v>10</v>
      </c>
      <c r="C4" s="3" t="s">
        <v>11</v>
      </c>
      <c r="D4" s="4" t="s">
        <v>12</v>
      </c>
      <c r="E4" s="5">
        <v>43892</v>
      </c>
      <c r="F4" s="6">
        <v>43896</v>
      </c>
      <c r="G4" s="7">
        <v>4</v>
      </c>
      <c r="H4" s="7">
        <v>1200</v>
      </c>
      <c r="I4" s="7">
        <f>G4*H4</f>
        <v>4800</v>
      </c>
      <c r="J4" s="3"/>
    </row>
    <row r="5" spans="1:10">
      <c r="A5" s="2">
        <v>2</v>
      </c>
      <c r="B5" s="3" t="s">
        <v>13</v>
      </c>
      <c r="C5" s="3" t="s">
        <v>14</v>
      </c>
      <c r="D5" s="4" t="s">
        <v>12</v>
      </c>
      <c r="E5" s="5">
        <v>43834</v>
      </c>
      <c r="F5" s="6">
        <v>43839</v>
      </c>
      <c r="G5" s="7">
        <v>5</v>
      </c>
      <c r="H5" s="7">
        <v>1200</v>
      </c>
      <c r="I5" s="7">
        <f t="shared" ref="I5:I33" si="0">G5*H5</f>
        <v>6000</v>
      </c>
      <c r="J5" s="3"/>
    </row>
    <row r="6" spans="1:10">
      <c r="A6" s="2">
        <v>3</v>
      </c>
      <c r="B6" s="3" t="s">
        <v>15</v>
      </c>
      <c r="C6" s="3" t="s">
        <v>16</v>
      </c>
      <c r="D6" s="4" t="s">
        <v>12</v>
      </c>
      <c r="E6" s="5">
        <v>43865</v>
      </c>
      <c r="F6" s="6">
        <v>43872</v>
      </c>
      <c r="G6" s="7">
        <v>7</v>
      </c>
      <c r="H6" s="7">
        <v>1500</v>
      </c>
      <c r="I6" s="7">
        <f t="shared" si="0"/>
        <v>10500</v>
      </c>
      <c r="J6" s="3"/>
    </row>
    <row r="7" spans="1:10">
      <c r="A7" s="2">
        <v>4</v>
      </c>
      <c r="B7" s="3" t="s">
        <v>17</v>
      </c>
      <c r="C7" s="3" t="s">
        <v>18</v>
      </c>
      <c r="D7" s="4" t="s">
        <v>19</v>
      </c>
      <c r="E7" s="5">
        <v>43923</v>
      </c>
      <c r="F7" s="6">
        <v>43927</v>
      </c>
      <c r="G7" s="7">
        <v>4</v>
      </c>
      <c r="H7" s="7">
        <v>1200</v>
      </c>
      <c r="I7" s="7">
        <f t="shared" si="0"/>
        <v>4800</v>
      </c>
      <c r="J7" s="3"/>
    </row>
    <row r="8" spans="1:10">
      <c r="A8" s="2">
        <v>5</v>
      </c>
      <c r="B8" s="3" t="s">
        <v>20</v>
      </c>
      <c r="C8" s="3" t="s">
        <v>21</v>
      </c>
      <c r="D8" s="4" t="s">
        <v>12</v>
      </c>
      <c r="E8" s="5">
        <v>43953</v>
      </c>
      <c r="F8" s="6">
        <v>43961</v>
      </c>
      <c r="G8" s="7">
        <v>8</v>
      </c>
      <c r="H8" s="7">
        <v>1500</v>
      </c>
      <c r="I8" s="7">
        <f t="shared" si="0"/>
        <v>12000</v>
      </c>
      <c r="J8" s="3"/>
    </row>
    <row r="9" spans="1:10">
      <c r="A9" s="2">
        <v>6</v>
      </c>
      <c r="B9" s="3" t="s">
        <v>10</v>
      </c>
      <c r="C9" s="3" t="s">
        <v>22</v>
      </c>
      <c r="D9" s="4" t="s">
        <v>19</v>
      </c>
      <c r="E9" s="5">
        <v>43871</v>
      </c>
      <c r="F9" s="6">
        <v>43880</v>
      </c>
      <c r="G9" s="7">
        <v>9</v>
      </c>
      <c r="H9" s="7">
        <v>2000</v>
      </c>
      <c r="I9" s="7">
        <f t="shared" si="0"/>
        <v>18000</v>
      </c>
      <c r="J9" s="3"/>
    </row>
    <row r="10" spans="1:10">
      <c r="A10" s="2">
        <v>7</v>
      </c>
      <c r="B10" s="3" t="s">
        <v>13</v>
      </c>
      <c r="C10" s="3" t="s">
        <v>23</v>
      </c>
      <c r="D10" s="4" t="s">
        <v>19</v>
      </c>
      <c r="E10" s="5">
        <v>43838</v>
      </c>
      <c r="F10" s="6">
        <v>43845</v>
      </c>
      <c r="G10" s="7">
        <v>7</v>
      </c>
      <c r="H10" s="7">
        <v>1500</v>
      </c>
      <c r="I10" s="7">
        <f t="shared" si="0"/>
        <v>10500</v>
      </c>
      <c r="J10" s="3"/>
    </row>
    <row r="11" spans="1:10">
      <c r="A11" s="2">
        <v>8</v>
      </c>
      <c r="B11" s="3" t="s">
        <v>15</v>
      </c>
      <c r="C11" s="3" t="s">
        <v>24</v>
      </c>
      <c r="D11" s="4" t="s">
        <v>19</v>
      </c>
      <c r="E11" s="5">
        <v>43912</v>
      </c>
      <c r="F11" s="6">
        <v>43920</v>
      </c>
      <c r="G11" s="7">
        <v>8</v>
      </c>
      <c r="H11" s="7">
        <v>1500</v>
      </c>
      <c r="I11" s="7">
        <f t="shared" si="0"/>
        <v>12000</v>
      </c>
      <c r="J11" s="3"/>
    </row>
    <row r="12" spans="1:10">
      <c r="A12" s="2">
        <v>9</v>
      </c>
      <c r="B12" s="3" t="s">
        <v>15</v>
      </c>
      <c r="C12" s="3" t="s">
        <v>25</v>
      </c>
      <c r="D12" s="4" t="s">
        <v>12</v>
      </c>
      <c r="E12" s="5">
        <v>43985</v>
      </c>
      <c r="F12" s="6">
        <v>43991</v>
      </c>
      <c r="G12" s="7">
        <v>6</v>
      </c>
      <c r="H12" s="7">
        <v>1500</v>
      </c>
      <c r="I12" s="7">
        <f t="shared" si="0"/>
        <v>9000</v>
      </c>
      <c r="J12" s="3"/>
    </row>
    <row r="13" spans="1:10">
      <c r="A13" s="2">
        <v>10</v>
      </c>
      <c r="B13" s="3" t="s">
        <v>17</v>
      </c>
      <c r="C13" s="3" t="s">
        <v>26</v>
      </c>
      <c r="D13" s="4" t="s">
        <v>19</v>
      </c>
      <c r="E13" s="5">
        <v>43861</v>
      </c>
      <c r="F13" s="6">
        <v>43865</v>
      </c>
      <c r="G13" s="7">
        <v>4</v>
      </c>
      <c r="H13" s="7">
        <v>1200</v>
      </c>
      <c r="I13" s="7">
        <f t="shared" si="0"/>
        <v>4800</v>
      </c>
      <c r="J13" s="3"/>
    </row>
    <row r="14" spans="1:10">
      <c r="A14" s="2">
        <v>11</v>
      </c>
      <c r="B14" s="3" t="s">
        <v>20</v>
      </c>
      <c r="C14" s="3" t="s">
        <v>27</v>
      </c>
      <c r="D14" s="4" t="s">
        <v>12</v>
      </c>
      <c r="E14" s="5">
        <v>43889</v>
      </c>
      <c r="F14" s="6">
        <v>43898</v>
      </c>
      <c r="G14" s="7">
        <v>9</v>
      </c>
      <c r="H14" s="7">
        <v>2000</v>
      </c>
      <c r="I14" s="7">
        <f t="shared" si="0"/>
        <v>18000</v>
      </c>
      <c r="J14" s="3"/>
    </row>
    <row r="15" spans="1:10">
      <c r="A15" s="2">
        <v>12</v>
      </c>
      <c r="B15" s="3" t="s">
        <v>10</v>
      </c>
      <c r="C15" s="3" t="s">
        <v>28</v>
      </c>
      <c r="D15" s="4" t="s">
        <v>19</v>
      </c>
      <c r="E15" s="5">
        <v>43872</v>
      </c>
      <c r="F15" s="6">
        <v>43879</v>
      </c>
      <c r="G15" s="7">
        <v>7</v>
      </c>
      <c r="H15" s="7">
        <v>1500</v>
      </c>
      <c r="I15" s="7">
        <f t="shared" si="0"/>
        <v>10500</v>
      </c>
      <c r="J15" s="3"/>
    </row>
    <row r="16" spans="1:10">
      <c r="A16" s="2">
        <v>13</v>
      </c>
      <c r="B16" s="3" t="s">
        <v>17</v>
      </c>
      <c r="C16" s="3" t="s">
        <v>29</v>
      </c>
      <c r="D16" s="4" t="s">
        <v>19</v>
      </c>
      <c r="E16" s="5">
        <v>43853</v>
      </c>
      <c r="F16" s="6">
        <v>43861</v>
      </c>
      <c r="G16" s="7">
        <v>8</v>
      </c>
      <c r="H16" s="7">
        <v>1500</v>
      </c>
      <c r="I16" s="7">
        <f t="shared" si="0"/>
        <v>12000</v>
      </c>
      <c r="J16" s="3"/>
    </row>
    <row r="17" spans="1:10">
      <c r="A17" s="2">
        <v>14</v>
      </c>
      <c r="B17" s="3" t="s">
        <v>20</v>
      </c>
      <c r="C17" s="3" t="s">
        <v>30</v>
      </c>
      <c r="D17" s="4" t="s">
        <v>12</v>
      </c>
      <c r="E17" s="5">
        <v>43886</v>
      </c>
      <c r="F17" s="6">
        <v>43888</v>
      </c>
      <c r="G17" s="7">
        <v>2</v>
      </c>
      <c r="H17" s="7">
        <v>0</v>
      </c>
      <c r="I17" s="7">
        <f t="shared" si="0"/>
        <v>0</v>
      </c>
      <c r="J17" s="3" t="s">
        <v>68</v>
      </c>
    </row>
    <row r="18" spans="1:10">
      <c r="A18" s="2">
        <v>15</v>
      </c>
      <c r="B18" s="3" t="s">
        <v>10</v>
      </c>
      <c r="C18" s="3" t="s">
        <v>31</v>
      </c>
      <c r="D18" s="4" t="s">
        <v>19</v>
      </c>
      <c r="E18" s="5">
        <v>43902</v>
      </c>
      <c r="F18" s="6">
        <v>43906</v>
      </c>
      <c r="G18" s="7">
        <v>4</v>
      </c>
      <c r="H18" s="7">
        <v>1200</v>
      </c>
      <c r="I18" s="7">
        <f t="shared" si="0"/>
        <v>4800</v>
      </c>
      <c r="J18" s="3"/>
    </row>
    <row r="19" spans="1:10">
      <c r="A19" s="2">
        <v>16</v>
      </c>
      <c r="B19" s="3" t="s">
        <v>13</v>
      </c>
      <c r="C19" s="3" t="s">
        <v>32</v>
      </c>
      <c r="D19" s="4" t="s">
        <v>19</v>
      </c>
      <c r="E19" s="5">
        <v>43943</v>
      </c>
      <c r="F19" s="6">
        <v>43948</v>
      </c>
      <c r="G19" s="7">
        <v>5</v>
      </c>
      <c r="H19" s="7">
        <v>1200</v>
      </c>
      <c r="I19" s="7">
        <f t="shared" si="0"/>
        <v>6000</v>
      </c>
      <c r="J19" s="3"/>
    </row>
    <row r="20" spans="1:10">
      <c r="A20" s="2">
        <v>17</v>
      </c>
      <c r="B20" s="3" t="s">
        <v>15</v>
      </c>
      <c r="C20" s="3" t="s">
        <v>33</v>
      </c>
      <c r="D20" s="4" t="s">
        <v>12</v>
      </c>
      <c r="E20" s="5">
        <v>43960</v>
      </c>
      <c r="F20" s="6">
        <v>43968</v>
      </c>
      <c r="G20" s="7">
        <v>8</v>
      </c>
      <c r="H20" s="7">
        <v>1500</v>
      </c>
      <c r="I20" s="7">
        <f t="shared" si="0"/>
        <v>12000</v>
      </c>
      <c r="J20" s="3"/>
    </row>
    <row r="21" spans="1:10">
      <c r="A21" s="2">
        <v>18</v>
      </c>
      <c r="B21" s="3" t="s">
        <v>15</v>
      </c>
      <c r="C21" s="3" t="s">
        <v>34</v>
      </c>
      <c r="D21" s="4" t="s">
        <v>19</v>
      </c>
      <c r="E21" s="5">
        <v>43832</v>
      </c>
      <c r="F21" s="6">
        <v>43839</v>
      </c>
      <c r="G21" s="7">
        <v>7</v>
      </c>
      <c r="H21" s="7">
        <v>1500</v>
      </c>
      <c r="I21" s="7">
        <f t="shared" si="0"/>
        <v>10500</v>
      </c>
      <c r="J21" s="3"/>
    </row>
    <row r="22" spans="1:10">
      <c r="A22" s="2">
        <v>19</v>
      </c>
      <c r="B22" s="3" t="s">
        <v>10</v>
      </c>
      <c r="C22" s="3" t="s">
        <v>35</v>
      </c>
      <c r="D22" s="4" t="s">
        <v>12</v>
      </c>
      <c r="E22" s="5">
        <v>43864</v>
      </c>
      <c r="F22" s="6">
        <v>43873</v>
      </c>
      <c r="G22" s="7">
        <v>9</v>
      </c>
      <c r="H22" s="7">
        <v>2000</v>
      </c>
      <c r="I22" s="7">
        <f t="shared" si="0"/>
        <v>18000</v>
      </c>
      <c r="J22" s="3"/>
    </row>
    <row r="23" spans="1:10">
      <c r="A23" s="2">
        <v>20</v>
      </c>
      <c r="B23" s="3" t="s">
        <v>13</v>
      </c>
      <c r="C23" s="3" t="s">
        <v>36</v>
      </c>
      <c r="D23" s="4" t="s">
        <v>19</v>
      </c>
      <c r="E23" s="5">
        <v>43894</v>
      </c>
      <c r="F23" s="6">
        <v>43900</v>
      </c>
      <c r="G23" s="7">
        <v>6</v>
      </c>
      <c r="H23" s="7">
        <v>1500</v>
      </c>
      <c r="I23" s="7">
        <f t="shared" si="0"/>
        <v>9000</v>
      </c>
      <c r="J23" s="3"/>
    </row>
    <row r="24" spans="1:10">
      <c r="A24" s="2">
        <v>21</v>
      </c>
      <c r="B24" s="3" t="s">
        <v>15</v>
      </c>
      <c r="C24" s="3" t="s">
        <v>37</v>
      </c>
      <c r="D24" s="4" t="s">
        <v>12</v>
      </c>
      <c r="E24" s="5">
        <v>43832</v>
      </c>
      <c r="F24" s="6">
        <v>43836</v>
      </c>
      <c r="G24" s="7">
        <v>4</v>
      </c>
      <c r="H24" s="7">
        <v>1200</v>
      </c>
      <c r="I24" s="7">
        <f t="shared" si="0"/>
        <v>4800</v>
      </c>
      <c r="J24" s="3"/>
    </row>
    <row r="25" spans="1:10">
      <c r="A25" s="2">
        <v>22</v>
      </c>
      <c r="B25" s="3" t="s">
        <v>17</v>
      </c>
      <c r="C25" s="3" t="s">
        <v>38</v>
      </c>
      <c r="D25" s="4" t="s">
        <v>12</v>
      </c>
      <c r="E25" s="5">
        <v>43984</v>
      </c>
      <c r="F25" s="6">
        <v>43986</v>
      </c>
      <c r="G25" s="7">
        <v>2</v>
      </c>
      <c r="H25" s="7">
        <v>0</v>
      </c>
      <c r="I25" s="7">
        <f t="shared" si="0"/>
        <v>0</v>
      </c>
      <c r="J25" s="3" t="s">
        <v>68</v>
      </c>
    </row>
    <row r="26" spans="1:10">
      <c r="A26" s="2">
        <v>23</v>
      </c>
      <c r="B26" s="3" t="s">
        <v>20</v>
      </c>
      <c r="C26" s="3" t="s">
        <v>39</v>
      </c>
      <c r="D26" s="4" t="s">
        <v>12</v>
      </c>
      <c r="E26" s="5">
        <v>43961</v>
      </c>
      <c r="F26" s="6">
        <v>43962</v>
      </c>
      <c r="G26" s="7">
        <v>1</v>
      </c>
      <c r="H26" s="7">
        <v>0</v>
      </c>
      <c r="I26" s="7">
        <f t="shared" si="0"/>
        <v>0</v>
      </c>
      <c r="J26" s="3" t="s">
        <v>68</v>
      </c>
    </row>
    <row r="27" spans="1:10">
      <c r="A27" s="2">
        <v>24</v>
      </c>
      <c r="B27" s="3" t="s">
        <v>10</v>
      </c>
      <c r="C27" s="3" t="s">
        <v>40</v>
      </c>
      <c r="D27" s="4" t="s">
        <v>19</v>
      </c>
      <c r="E27" s="5">
        <v>43920</v>
      </c>
      <c r="F27" s="6">
        <v>43923</v>
      </c>
      <c r="G27" s="7">
        <v>3</v>
      </c>
      <c r="H27" s="7">
        <v>0</v>
      </c>
      <c r="I27" s="7">
        <f t="shared" si="0"/>
        <v>0</v>
      </c>
      <c r="J27" s="3" t="s">
        <v>68</v>
      </c>
    </row>
    <row r="28" spans="1:10">
      <c r="A28" s="2">
        <v>25</v>
      </c>
      <c r="B28" s="3" t="s">
        <v>13</v>
      </c>
      <c r="C28" s="3" t="s">
        <v>41</v>
      </c>
      <c r="D28" s="4" t="s">
        <v>12</v>
      </c>
      <c r="E28" s="5">
        <v>43863</v>
      </c>
      <c r="F28" s="6">
        <v>43869</v>
      </c>
      <c r="G28" s="7">
        <v>6</v>
      </c>
      <c r="H28" s="7">
        <v>1500</v>
      </c>
      <c r="I28" s="7">
        <f t="shared" si="0"/>
        <v>9000</v>
      </c>
      <c r="J28" s="3"/>
    </row>
    <row r="29" spans="1:10">
      <c r="A29" s="2">
        <v>26</v>
      </c>
      <c r="B29" s="3" t="s">
        <v>15</v>
      </c>
      <c r="C29" s="3" t="s">
        <v>42</v>
      </c>
      <c r="D29" s="4" t="s">
        <v>12</v>
      </c>
      <c r="E29" s="5">
        <v>43848</v>
      </c>
      <c r="F29" s="6">
        <v>43855</v>
      </c>
      <c r="G29" s="7">
        <v>7</v>
      </c>
      <c r="H29" s="7">
        <v>1500</v>
      </c>
      <c r="I29" s="7">
        <f t="shared" si="0"/>
        <v>10500</v>
      </c>
      <c r="J29" s="3"/>
    </row>
    <row r="30" spans="1:10">
      <c r="A30" s="2">
        <v>27</v>
      </c>
      <c r="B30" s="3" t="s">
        <v>10</v>
      </c>
      <c r="C30" s="3" t="s">
        <v>43</v>
      </c>
      <c r="D30" s="4" t="s">
        <v>19</v>
      </c>
      <c r="E30" s="5">
        <v>43887</v>
      </c>
      <c r="F30" s="6">
        <v>43896</v>
      </c>
      <c r="G30" s="7">
        <v>9</v>
      </c>
      <c r="H30" s="7">
        <v>2000</v>
      </c>
      <c r="I30" s="7">
        <f t="shared" si="0"/>
        <v>18000</v>
      </c>
      <c r="J30" s="3"/>
    </row>
    <row r="31" spans="1:10">
      <c r="A31" s="2">
        <v>28</v>
      </c>
      <c r="B31" s="3" t="s">
        <v>13</v>
      </c>
      <c r="C31" s="3" t="s">
        <v>44</v>
      </c>
      <c r="D31" s="4" t="s">
        <v>12</v>
      </c>
      <c r="E31" s="5">
        <v>43898</v>
      </c>
      <c r="F31" s="6">
        <v>43906</v>
      </c>
      <c r="G31" s="7">
        <v>8</v>
      </c>
      <c r="H31" s="7">
        <v>1500</v>
      </c>
      <c r="I31" s="7">
        <f t="shared" si="0"/>
        <v>12000</v>
      </c>
      <c r="J31" s="3"/>
    </row>
    <row r="32" spans="1:10">
      <c r="A32" s="2">
        <v>29</v>
      </c>
      <c r="B32" s="3" t="s">
        <v>15</v>
      </c>
      <c r="C32" s="3" t="s">
        <v>45</v>
      </c>
      <c r="D32" s="4" t="s">
        <v>12</v>
      </c>
      <c r="E32" s="5">
        <v>43929</v>
      </c>
      <c r="F32" s="6">
        <v>43934</v>
      </c>
      <c r="G32" s="7">
        <v>5</v>
      </c>
      <c r="H32" s="7">
        <v>1200</v>
      </c>
      <c r="I32" s="7">
        <f t="shared" si="0"/>
        <v>6000</v>
      </c>
      <c r="J32" s="3"/>
    </row>
    <row r="33" spans="1:10">
      <c r="A33" s="2">
        <v>30</v>
      </c>
      <c r="B33" s="3" t="s">
        <v>15</v>
      </c>
      <c r="C33" s="3" t="s">
        <v>46</v>
      </c>
      <c r="D33" s="4" t="s">
        <v>12</v>
      </c>
      <c r="E33" s="6">
        <v>43894</v>
      </c>
      <c r="F33" s="6">
        <v>43894</v>
      </c>
      <c r="G33" s="7">
        <v>0</v>
      </c>
      <c r="H33" s="7">
        <v>0</v>
      </c>
      <c r="I33" s="7">
        <f t="shared" si="0"/>
        <v>0</v>
      </c>
      <c r="J33" s="3" t="s">
        <v>68</v>
      </c>
    </row>
    <row r="36" spans="1:10">
      <c r="A36" s="1" t="s">
        <v>116</v>
      </c>
    </row>
    <row r="37" spans="1:10">
      <c r="A37" s="1" t="b">
        <f>AND(NOT(D4="본사"),OR(MOD(A4,2)=1,G4&gt;AVERAGE($G$4:$G$33)))</f>
        <v>0</v>
      </c>
    </row>
    <row r="39" spans="1:10">
      <c r="A39" s="3" t="s">
        <v>1</v>
      </c>
      <c r="B39" s="3" t="s">
        <v>2</v>
      </c>
      <c r="C39" s="3" t="s">
        <v>3</v>
      </c>
      <c r="D39" s="2" t="s">
        <v>6</v>
      </c>
      <c r="E39" s="2" t="s">
        <v>8</v>
      </c>
    </row>
    <row r="40" spans="1:10">
      <c r="A40" s="3" t="s">
        <v>10</v>
      </c>
      <c r="B40" s="3" t="s">
        <v>22</v>
      </c>
      <c r="C40" s="4" t="s">
        <v>19</v>
      </c>
      <c r="D40" s="7">
        <v>9</v>
      </c>
      <c r="E40" s="7">
        <v>18000</v>
      </c>
    </row>
    <row r="41" spans="1:10">
      <c r="A41" s="3" t="s">
        <v>13</v>
      </c>
      <c r="B41" s="3" t="s">
        <v>23</v>
      </c>
      <c r="C41" s="4" t="s">
        <v>19</v>
      </c>
      <c r="D41" s="7">
        <v>7</v>
      </c>
      <c r="E41" s="7">
        <v>10500</v>
      </c>
    </row>
    <row r="42" spans="1:10">
      <c r="A42" s="3" t="s">
        <v>15</v>
      </c>
      <c r="B42" s="3" t="s">
        <v>24</v>
      </c>
      <c r="C42" s="4" t="s">
        <v>19</v>
      </c>
      <c r="D42" s="7">
        <v>8</v>
      </c>
      <c r="E42" s="7">
        <v>12000</v>
      </c>
    </row>
    <row r="43" spans="1:10">
      <c r="A43" s="3" t="s">
        <v>10</v>
      </c>
      <c r="B43" s="3" t="s">
        <v>28</v>
      </c>
      <c r="C43" s="4" t="s">
        <v>19</v>
      </c>
      <c r="D43" s="7">
        <v>7</v>
      </c>
      <c r="E43" s="7">
        <v>10500</v>
      </c>
    </row>
    <row r="44" spans="1:10">
      <c r="A44" s="3" t="s">
        <v>17</v>
      </c>
      <c r="B44" s="3" t="s">
        <v>29</v>
      </c>
      <c r="C44" s="4" t="s">
        <v>19</v>
      </c>
      <c r="D44" s="7">
        <v>8</v>
      </c>
      <c r="E44" s="7">
        <v>12000</v>
      </c>
    </row>
    <row r="45" spans="1:10">
      <c r="A45" s="3" t="s">
        <v>10</v>
      </c>
      <c r="B45" s="3" t="s">
        <v>31</v>
      </c>
      <c r="C45" s="4" t="s">
        <v>19</v>
      </c>
      <c r="D45" s="7">
        <v>4</v>
      </c>
      <c r="E45" s="7">
        <v>4800</v>
      </c>
    </row>
    <row r="46" spans="1:10">
      <c r="A46" s="3" t="s">
        <v>15</v>
      </c>
      <c r="B46" s="3" t="s">
        <v>34</v>
      </c>
      <c r="C46" s="4" t="s">
        <v>19</v>
      </c>
      <c r="D46" s="7">
        <v>7</v>
      </c>
      <c r="E46" s="7">
        <v>10500</v>
      </c>
    </row>
    <row r="47" spans="1:10">
      <c r="A47" s="3" t="s">
        <v>13</v>
      </c>
      <c r="B47" s="3" t="s">
        <v>36</v>
      </c>
      <c r="C47" s="4" t="s">
        <v>19</v>
      </c>
      <c r="D47" s="7">
        <v>6</v>
      </c>
      <c r="E47" s="7">
        <v>9000</v>
      </c>
    </row>
    <row r="48" spans="1:10">
      <c r="A48" s="3" t="s">
        <v>10</v>
      </c>
      <c r="B48" s="3" t="s">
        <v>43</v>
      </c>
      <c r="C48" s="4" t="s">
        <v>19</v>
      </c>
      <c r="D48" s="7">
        <v>9</v>
      </c>
      <c r="E48" s="7">
        <v>18000</v>
      </c>
    </row>
  </sheetData>
  <phoneticPr fontId="2" type="noConversion"/>
  <conditionalFormatting sqref="A4:J33">
    <cfRule type="expression" dxfId="2" priority="3">
      <formula>OR($B4="관리부",ISODD($G4))</formula>
    </cfRule>
  </conditionalFormatting>
  <pageMargins left="0.75" right="0.75" top="1" bottom="1" header="0.5" footer="0.5"/>
  <pageSetup paperSize="9" orientation="portrait" horizontalDpi="4294967293" vertic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J33"/>
  <sheetViews>
    <sheetView workbookViewId="0">
      <selection activeCell="I4" sqref="I4"/>
    </sheetView>
  </sheetViews>
  <sheetFormatPr defaultColWidth="8.77734375" defaultRowHeight="16.5"/>
  <cols>
    <col min="1" max="4" width="8.77734375" style="1"/>
    <col min="5" max="5" width="11.5546875" style="1" bestFit="1" customWidth="1"/>
    <col min="6" max="6" width="9.88671875" style="1" bestFit="1" customWidth="1"/>
    <col min="7" max="7" width="9.88671875" style="1" customWidth="1"/>
    <col min="8" max="8" width="11.5546875" style="1" bestFit="1" customWidth="1"/>
    <col min="9" max="9" width="12.109375" style="1" customWidth="1"/>
    <col min="10" max="16384" width="8.77734375" style="1"/>
  </cols>
  <sheetData>
    <row r="2" spans="1:10">
      <c r="A2" s="1" t="s">
        <v>47</v>
      </c>
    </row>
    <row r="3" spans="1:10">
      <c r="A3" s="2" t="s">
        <v>0</v>
      </c>
      <c r="B3" s="3" t="s">
        <v>1</v>
      </c>
      <c r="C3" s="3" t="s">
        <v>2</v>
      </c>
      <c r="D3" s="3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2" t="s">
        <v>8</v>
      </c>
      <c r="J3" s="2" t="s">
        <v>9</v>
      </c>
    </row>
    <row r="4" spans="1:10">
      <c r="A4" s="2">
        <v>1</v>
      </c>
      <c r="B4" s="3" t="s">
        <v>10</v>
      </c>
      <c r="C4" s="3" t="s">
        <v>11</v>
      </c>
      <c r="D4" s="4" t="s">
        <v>12</v>
      </c>
      <c r="E4" s="5">
        <v>43892</v>
      </c>
      <c r="F4" s="6">
        <v>43896</v>
      </c>
      <c r="G4" s="7">
        <v>4</v>
      </c>
      <c r="H4" s="7">
        <v>1200</v>
      </c>
      <c r="I4" s="12">
        <f>G4*H4</f>
        <v>4800</v>
      </c>
      <c r="J4" s="3"/>
    </row>
    <row r="5" spans="1:10">
      <c r="A5" s="2">
        <v>2</v>
      </c>
      <c r="B5" s="3" t="s">
        <v>13</v>
      </c>
      <c r="C5" s="3" t="s">
        <v>14</v>
      </c>
      <c r="D5" s="4" t="s">
        <v>12</v>
      </c>
      <c r="E5" s="5">
        <v>43834</v>
      </c>
      <c r="F5" s="6">
        <v>43839</v>
      </c>
      <c r="G5" s="7">
        <v>5</v>
      </c>
      <c r="H5" s="7">
        <v>1200</v>
      </c>
      <c r="I5" s="12">
        <f t="shared" ref="I5:I33" si="0">G5*H5</f>
        <v>6000</v>
      </c>
      <c r="J5" s="3"/>
    </row>
    <row r="6" spans="1:10">
      <c r="A6" s="2">
        <v>3</v>
      </c>
      <c r="B6" s="3" t="s">
        <v>15</v>
      </c>
      <c r="C6" s="3" t="s">
        <v>16</v>
      </c>
      <c r="D6" s="4" t="s">
        <v>12</v>
      </c>
      <c r="E6" s="5">
        <v>43865</v>
      </c>
      <c r="F6" s="6">
        <v>43872</v>
      </c>
      <c r="G6" s="7">
        <v>7</v>
      </c>
      <c r="H6" s="7">
        <v>1500</v>
      </c>
      <c r="I6" s="12">
        <f t="shared" si="0"/>
        <v>10500</v>
      </c>
      <c r="J6" s="3"/>
    </row>
    <row r="7" spans="1:10">
      <c r="A7" s="2">
        <v>4</v>
      </c>
      <c r="B7" s="3" t="s">
        <v>17</v>
      </c>
      <c r="C7" s="3" t="s">
        <v>18</v>
      </c>
      <c r="D7" s="4" t="s">
        <v>19</v>
      </c>
      <c r="E7" s="5">
        <v>43923</v>
      </c>
      <c r="F7" s="6">
        <v>43927</v>
      </c>
      <c r="G7" s="7">
        <v>4</v>
      </c>
      <c r="H7" s="7">
        <v>1200</v>
      </c>
      <c r="I7" s="12">
        <f t="shared" si="0"/>
        <v>4800</v>
      </c>
      <c r="J7" s="3"/>
    </row>
    <row r="8" spans="1:10">
      <c r="A8" s="2">
        <v>5</v>
      </c>
      <c r="B8" s="3" t="s">
        <v>20</v>
      </c>
      <c r="C8" s="3" t="s">
        <v>21</v>
      </c>
      <c r="D8" s="4" t="s">
        <v>12</v>
      </c>
      <c r="E8" s="5">
        <v>43953</v>
      </c>
      <c r="F8" s="6">
        <v>43961</v>
      </c>
      <c r="G8" s="7">
        <v>8</v>
      </c>
      <c r="H8" s="7">
        <v>1500</v>
      </c>
      <c r="I8" s="12">
        <f t="shared" si="0"/>
        <v>12000</v>
      </c>
      <c r="J8" s="3"/>
    </row>
    <row r="9" spans="1:10">
      <c r="A9" s="2">
        <v>6</v>
      </c>
      <c r="B9" s="3" t="s">
        <v>10</v>
      </c>
      <c r="C9" s="3" t="s">
        <v>22</v>
      </c>
      <c r="D9" s="4" t="s">
        <v>19</v>
      </c>
      <c r="E9" s="5">
        <v>43871</v>
      </c>
      <c r="F9" s="6">
        <v>43880</v>
      </c>
      <c r="G9" s="7">
        <v>9</v>
      </c>
      <c r="H9" s="7">
        <v>2000</v>
      </c>
      <c r="I9" s="12">
        <f t="shared" si="0"/>
        <v>18000</v>
      </c>
      <c r="J9" s="3"/>
    </row>
    <row r="10" spans="1:10">
      <c r="A10" s="2">
        <v>7</v>
      </c>
      <c r="B10" s="3" t="s">
        <v>13</v>
      </c>
      <c r="C10" s="3" t="s">
        <v>23</v>
      </c>
      <c r="D10" s="4" t="s">
        <v>19</v>
      </c>
      <c r="E10" s="5">
        <v>43838</v>
      </c>
      <c r="F10" s="6">
        <v>43845</v>
      </c>
      <c r="G10" s="7">
        <v>7</v>
      </c>
      <c r="H10" s="7">
        <v>1500</v>
      </c>
      <c r="I10" s="12">
        <f t="shared" si="0"/>
        <v>10500</v>
      </c>
      <c r="J10" s="3"/>
    </row>
    <row r="11" spans="1:10">
      <c r="A11" s="2">
        <v>8</v>
      </c>
      <c r="B11" s="3" t="s">
        <v>15</v>
      </c>
      <c r="C11" s="3" t="s">
        <v>24</v>
      </c>
      <c r="D11" s="4" t="s">
        <v>19</v>
      </c>
      <c r="E11" s="5">
        <v>43912</v>
      </c>
      <c r="F11" s="6">
        <v>43920</v>
      </c>
      <c r="G11" s="7">
        <v>8</v>
      </c>
      <c r="H11" s="7">
        <v>1500</v>
      </c>
      <c r="I11" s="12">
        <f t="shared" si="0"/>
        <v>12000</v>
      </c>
      <c r="J11" s="3"/>
    </row>
    <row r="12" spans="1:10">
      <c r="A12" s="2">
        <v>9</v>
      </c>
      <c r="B12" s="3" t="s">
        <v>15</v>
      </c>
      <c r="C12" s="3" t="s">
        <v>25</v>
      </c>
      <c r="D12" s="4" t="s">
        <v>12</v>
      </c>
      <c r="E12" s="5">
        <v>43985</v>
      </c>
      <c r="F12" s="6">
        <v>43991</v>
      </c>
      <c r="G12" s="7">
        <v>6</v>
      </c>
      <c r="H12" s="7">
        <v>1500</v>
      </c>
      <c r="I12" s="12">
        <f t="shared" si="0"/>
        <v>9000</v>
      </c>
      <c r="J12" s="3"/>
    </row>
    <row r="13" spans="1:10">
      <c r="A13" s="2">
        <v>10</v>
      </c>
      <c r="B13" s="3" t="s">
        <v>17</v>
      </c>
      <c r="C13" s="3" t="s">
        <v>26</v>
      </c>
      <c r="D13" s="4" t="s">
        <v>19</v>
      </c>
      <c r="E13" s="5">
        <v>43861</v>
      </c>
      <c r="F13" s="6">
        <v>43865</v>
      </c>
      <c r="G13" s="7">
        <v>4</v>
      </c>
      <c r="H13" s="7">
        <v>1200</v>
      </c>
      <c r="I13" s="12">
        <f t="shared" si="0"/>
        <v>4800</v>
      </c>
      <c r="J13" s="3"/>
    </row>
    <row r="14" spans="1:10">
      <c r="A14" s="2">
        <v>11</v>
      </c>
      <c r="B14" s="3" t="s">
        <v>20</v>
      </c>
      <c r="C14" s="3" t="s">
        <v>27</v>
      </c>
      <c r="D14" s="4" t="s">
        <v>12</v>
      </c>
      <c r="E14" s="5">
        <v>43889</v>
      </c>
      <c r="F14" s="6">
        <v>43898</v>
      </c>
      <c r="G14" s="7">
        <v>9</v>
      </c>
      <c r="H14" s="7">
        <v>2000</v>
      </c>
      <c r="I14" s="12">
        <f t="shared" si="0"/>
        <v>18000</v>
      </c>
      <c r="J14" s="3"/>
    </row>
    <row r="15" spans="1:10">
      <c r="A15" s="2">
        <v>12</v>
      </c>
      <c r="B15" s="3" t="s">
        <v>10</v>
      </c>
      <c r="C15" s="3" t="s">
        <v>28</v>
      </c>
      <c r="D15" s="4" t="s">
        <v>19</v>
      </c>
      <c r="E15" s="5">
        <v>43872</v>
      </c>
      <c r="F15" s="6">
        <v>43879</v>
      </c>
      <c r="G15" s="7">
        <v>7</v>
      </c>
      <c r="H15" s="7">
        <v>1500</v>
      </c>
      <c r="I15" s="12">
        <f t="shared" si="0"/>
        <v>10500</v>
      </c>
      <c r="J15" s="3"/>
    </row>
    <row r="16" spans="1:10">
      <c r="A16" s="2">
        <v>13</v>
      </c>
      <c r="B16" s="3" t="s">
        <v>17</v>
      </c>
      <c r="C16" s="3" t="s">
        <v>29</v>
      </c>
      <c r="D16" s="4" t="s">
        <v>19</v>
      </c>
      <c r="E16" s="5">
        <v>43853</v>
      </c>
      <c r="F16" s="6">
        <v>43861</v>
      </c>
      <c r="G16" s="7">
        <v>8</v>
      </c>
      <c r="H16" s="7">
        <v>1500</v>
      </c>
      <c r="I16" s="12">
        <f t="shared" si="0"/>
        <v>12000</v>
      </c>
      <c r="J16" s="3"/>
    </row>
    <row r="17" spans="1:10">
      <c r="A17" s="2">
        <v>14</v>
      </c>
      <c r="B17" s="3" t="s">
        <v>20</v>
      </c>
      <c r="C17" s="3" t="s">
        <v>30</v>
      </c>
      <c r="D17" s="4" t="s">
        <v>12</v>
      </c>
      <c r="E17" s="5">
        <v>43886</v>
      </c>
      <c r="F17" s="6">
        <v>43888</v>
      </c>
      <c r="G17" s="7">
        <v>2</v>
      </c>
      <c r="H17" s="7">
        <v>0</v>
      </c>
      <c r="I17" s="12">
        <f t="shared" si="0"/>
        <v>0</v>
      </c>
      <c r="J17" s="3" t="s">
        <v>68</v>
      </c>
    </row>
    <row r="18" spans="1:10">
      <c r="A18" s="2">
        <v>15</v>
      </c>
      <c r="B18" s="3" t="s">
        <v>10</v>
      </c>
      <c r="C18" s="3" t="s">
        <v>31</v>
      </c>
      <c r="D18" s="4" t="s">
        <v>19</v>
      </c>
      <c r="E18" s="5">
        <v>43902</v>
      </c>
      <c r="F18" s="6">
        <v>43906</v>
      </c>
      <c r="G18" s="7">
        <v>4</v>
      </c>
      <c r="H18" s="7">
        <v>1200</v>
      </c>
      <c r="I18" s="12">
        <f t="shared" si="0"/>
        <v>4800</v>
      </c>
      <c r="J18" s="3"/>
    </row>
    <row r="19" spans="1:10">
      <c r="A19" s="2">
        <v>16</v>
      </c>
      <c r="B19" s="3" t="s">
        <v>13</v>
      </c>
      <c r="C19" s="3" t="s">
        <v>32</v>
      </c>
      <c r="D19" s="4" t="s">
        <v>19</v>
      </c>
      <c r="E19" s="5">
        <v>43943</v>
      </c>
      <c r="F19" s="6">
        <v>43948</v>
      </c>
      <c r="G19" s="7">
        <v>5</v>
      </c>
      <c r="H19" s="7">
        <v>1200</v>
      </c>
      <c r="I19" s="12">
        <f t="shared" si="0"/>
        <v>6000</v>
      </c>
      <c r="J19" s="3"/>
    </row>
    <row r="20" spans="1:10">
      <c r="A20" s="2">
        <v>17</v>
      </c>
      <c r="B20" s="3" t="s">
        <v>15</v>
      </c>
      <c r="C20" s="3" t="s">
        <v>33</v>
      </c>
      <c r="D20" s="4" t="s">
        <v>12</v>
      </c>
      <c r="E20" s="5">
        <v>43960</v>
      </c>
      <c r="F20" s="6">
        <v>43968</v>
      </c>
      <c r="G20" s="7">
        <v>8</v>
      </c>
      <c r="H20" s="7">
        <v>1500</v>
      </c>
      <c r="I20" s="12">
        <f t="shared" si="0"/>
        <v>12000</v>
      </c>
      <c r="J20" s="3"/>
    </row>
    <row r="21" spans="1:10">
      <c r="A21" s="2">
        <v>18</v>
      </c>
      <c r="B21" s="3" t="s">
        <v>15</v>
      </c>
      <c r="C21" s="3" t="s">
        <v>34</v>
      </c>
      <c r="D21" s="4" t="s">
        <v>19</v>
      </c>
      <c r="E21" s="5">
        <v>43832</v>
      </c>
      <c r="F21" s="6">
        <v>43839</v>
      </c>
      <c r="G21" s="7">
        <v>7</v>
      </c>
      <c r="H21" s="7">
        <v>1500</v>
      </c>
      <c r="I21" s="12">
        <f t="shared" si="0"/>
        <v>10500</v>
      </c>
      <c r="J21" s="3"/>
    </row>
    <row r="22" spans="1:10">
      <c r="A22" s="2">
        <v>19</v>
      </c>
      <c r="B22" s="3" t="s">
        <v>10</v>
      </c>
      <c r="C22" s="3" t="s">
        <v>35</v>
      </c>
      <c r="D22" s="4" t="s">
        <v>12</v>
      </c>
      <c r="E22" s="5">
        <v>43864</v>
      </c>
      <c r="F22" s="6">
        <v>43873</v>
      </c>
      <c r="G22" s="7">
        <v>9</v>
      </c>
      <c r="H22" s="7">
        <v>2000</v>
      </c>
      <c r="I22" s="12">
        <f t="shared" si="0"/>
        <v>18000</v>
      </c>
      <c r="J22" s="3"/>
    </row>
    <row r="23" spans="1:10">
      <c r="A23" s="2">
        <v>20</v>
      </c>
      <c r="B23" s="3" t="s">
        <v>13</v>
      </c>
      <c r="C23" s="3" t="s">
        <v>36</v>
      </c>
      <c r="D23" s="4" t="s">
        <v>19</v>
      </c>
      <c r="E23" s="5">
        <v>43894</v>
      </c>
      <c r="F23" s="6">
        <v>43900</v>
      </c>
      <c r="G23" s="7">
        <v>6</v>
      </c>
      <c r="H23" s="7">
        <v>1500</v>
      </c>
      <c r="I23" s="12">
        <f t="shared" si="0"/>
        <v>9000</v>
      </c>
      <c r="J23" s="3"/>
    </row>
    <row r="24" spans="1:10">
      <c r="A24" s="2">
        <v>21</v>
      </c>
      <c r="B24" s="3" t="s">
        <v>15</v>
      </c>
      <c r="C24" s="3" t="s">
        <v>37</v>
      </c>
      <c r="D24" s="4" t="s">
        <v>12</v>
      </c>
      <c r="E24" s="5">
        <v>43832</v>
      </c>
      <c r="F24" s="6">
        <v>43836</v>
      </c>
      <c r="G24" s="7">
        <v>4</v>
      </c>
      <c r="H24" s="7">
        <v>1200</v>
      </c>
      <c r="I24" s="12">
        <f t="shared" si="0"/>
        <v>4800</v>
      </c>
      <c r="J24" s="3"/>
    </row>
    <row r="25" spans="1:10">
      <c r="A25" s="2">
        <v>22</v>
      </c>
      <c r="B25" s="3" t="s">
        <v>17</v>
      </c>
      <c r="C25" s="3" t="s">
        <v>38</v>
      </c>
      <c r="D25" s="4" t="s">
        <v>12</v>
      </c>
      <c r="E25" s="5">
        <v>43984</v>
      </c>
      <c r="F25" s="6">
        <v>43986</v>
      </c>
      <c r="G25" s="7">
        <v>2</v>
      </c>
      <c r="H25" s="7">
        <v>0</v>
      </c>
      <c r="I25" s="12">
        <f t="shared" si="0"/>
        <v>0</v>
      </c>
      <c r="J25" s="3" t="s">
        <v>68</v>
      </c>
    </row>
    <row r="26" spans="1:10">
      <c r="A26" s="2">
        <v>23</v>
      </c>
      <c r="B26" s="3" t="s">
        <v>20</v>
      </c>
      <c r="C26" s="3" t="s">
        <v>39</v>
      </c>
      <c r="D26" s="4" t="s">
        <v>12</v>
      </c>
      <c r="E26" s="5">
        <v>43961</v>
      </c>
      <c r="F26" s="6">
        <v>43962</v>
      </c>
      <c r="G26" s="7">
        <v>1</v>
      </c>
      <c r="H26" s="7">
        <v>0</v>
      </c>
      <c r="I26" s="12">
        <f t="shared" si="0"/>
        <v>0</v>
      </c>
      <c r="J26" s="3" t="s">
        <v>68</v>
      </c>
    </row>
    <row r="27" spans="1:10">
      <c r="A27" s="2">
        <v>24</v>
      </c>
      <c r="B27" s="3" t="s">
        <v>10</v>
      </c>
      <c r="C27" s="3" t="s">
        <v>40</v>
      </c>
      <c r="D27" s="4" t="s">
        <v>19</v>
      </c>
      <c r="E27" s="5">
        <v>43920</v>
      </c>
      <c r="F27" s="6">
        <v>43923</v>
      </c>
      <c r="G27" s="7">
        <v>3</v>
      </c>
      <c r="H27" s="7">
        <v>0</v>
      </c>
      <c r="I27" s="12">
        <f t="shared" si="0"/>
        <v>0</v>
      </c>
      <c r="J27" s="3" t="s">
        <v>68</v>
      </c>
    </row>
    <row r="28" spans="1:10">
      <c r="A28" s="2">
        <v>25</v>
      </c>
      <c r="B28" s="3" t="s">
        <v>13</v>
      </c>
      <c r="C28" s="3" t="s">
        <v>41</v>
      </c>
      <c r="D28" s="4" t="s">
        <v>12</v>
      </c>
      <c r="E28" s="5">
        <v>43863</v>
      </c>
      <c r="F28" s="6">
        <v>43869</v>
      </c>
      <c r="G28" s="7">
        <v>6</v>
      </c>
      <c r="H28" s="7">
        <v>1500</v>
      </c>
      <c r="I28" s="12">
        <f t="shared" si="0"/>
        <v>9000</v>
      </c>
      <c r="J28" s="3"/>
    </row>
    <row r="29" spans="1:10">
      <c r="A29" s="2">
        <v>26</v>
      </c>
      <c r="B29" s="3" t="s">
        <v>15</v>
      </c>
      <c r="C29" s="3" t="s">
        <v>42</v>
      </c>
      <c r="D29" s="4" t="s">
        <v>12</v>
      </c>
      <c r="E29" s="5">
        <v>43848</v>
      </c>
      <c r="F29" s="6">
        <v>43855</v>
      </c>
      <c r="G29" s="7">
        <v>7</v>
      </c>
      <c r="H29" s="7">
        <v>1500</v>
      </c>
      <c r="I29" s="12">
        <f t="shared" si="0"/>
        <v>10500</v>
      </c>
      <c r="J29" s="3"/>
    </row>
    <row r="30" spans="1:10">
      <c r="A30" s="2">
        <v>27</v>
      </c>
      <c r="B30" s="3" t="s">
        <v>10</v>
      </c>
      <c r="C30" s="3" t="s">
        <v>43</v>
      </c>
      <c r="D30" s="4" t="s">
        <v>19</v>
      </c>
      <c r="E30" s="5">
        <v>43887</v>
      </c>
      <c r="F30" s="6">
        <v>43896</v>
      </c>
      <c r="G30" s="7">
        <v>9</v>
      </c>
      <c r="H30" s="7">
        <v>2000</v>
      </c>
      <c r="I30" s="12">
        <f t="shared" si="0"/>
        <v>18000</v>
      </c>
      <c r="J30" s="3"/>
    </row>
    <row r="31" spans="1:10">
      <c r="A31" s="2">
        <v>28</v>
      </c>
      <c r="B31" s="3" t="s">
        <v>13</v>
      </c>
      <c r="C31" s="3" t="s">
        <v>44</v>
      </c>
      <c r="D31" s="4" t="s">
        <v>12</v>
      </c>
      <c r="E31" s="5">
        <v>43898</v>
      </c>
      <c r="F31" s="6">
        <v>43906</v>
      </c>
      <c r="G31" s="7">
        <v>8</v>
      </c>
      <c r="H31" s="7">
        <v>1500</v>
      </c>
      <c r="I31" s="12">
        <f t="shared" si="0"/>
        <v>12000</v>
      </c>
      <c r="J31" s="3"/>
    </row>
    <row r="32" spans="1:10">
      <c r="A32" s="2">
        <v>29</v>
      </c>
      <c r="B32" s="3" t="s">
        <v>15</v>
      </c>
      <c r="C32" s="3" t="s">
        <v>45</v>
      </c>
      <c r="D32" s="4" t="s">
        <v>12</v>
      </c>
      <c r="E32" s="5">
        <v>43929</v>
      </c>
      <c r="F32" s="6">
        <v>43934</v>
      </c>
      <c r="G32" s="7">
        <v>5</v>
      </c>
      <c r="H32" s="7">
        <v>1200</v>
      </c>
      <c r="I32" s="12">
        <f t="shared" si="0"/>
        <v>6000</v>
      </c>
      <c r="J32" s="3"/>
    </row>
    <row r="33" spans="1:10">
      <c r="A33" s="2">
        <v>30</v>
      </c>
      <c r="B33" s="3" t="s">
        <v>15</v>
      </c>
      <c r="C33" s="3" t="s">
        <v>46</v>
      </c>
      <c r="D33" s="4" t="s">
        <v>12</v>
      </c>
      <c r="E33" s="6">
        <v>43894</v>
      </c>
      <c r="F33" s="6">
        <v>43894</v>
      </c>
      <c r="G33" s="7">
        <v>0</v>
      </c>
      <c r="H33" s="7">
        <v>0</v>
      </c>
      <c r="I33" s="12">
        <f t="shared" si="0"/>
        <v>0</v>
      </c>
      <c r="J33" s="3" t="s">
        <v>68</v>
      </c>
    </row>
  </sheetData>
  <sheetProtection sheet="1" objects="1" scenarios="1" sort="0"/>
  <phoneticPr fontId="2" type="noConversion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T29"/>
  <sheetViews>
    <sheetView workbookViewId="0">
      <selection activeCell="I3" sqref="I3"/>
    </sheetView>
  </sheetViews>
  <sheetFormatPr defaultColWidth="8.77734375" defaultRowHeight="16.5"/>
  <cols>
    <col min="1" max="2" width="8.77734375" style="1"/>
    <col min="3" max="3" width="8.77734375" style="13"/>
    <col min="4" max="4" width="7.6640625" style="1" customWidth="1"/>
    <col min="5" max="5" width="7.88671875" style="1" customWidth="1"/>
    <col min="6" max="6" width="11.5546875" style="1" bestFit="1" customWidth="1"/>
    <col min="7" max="7" width="9" style="1" bestFit="1" customWidth="1"/>
    <col min="8" max="8" width="6.21875" style="1" customWidth="1"/>
    <col min="9" max="9" width="9.88671875" style="1" bestFit="1" customWidth="1"/>
    <col min="10" max="11" width="11.5546875" style="1" bestFit="1" customWidth="1"/>
    <col min="12" max="12" width="9.88671875" style="1" bestFit="1" customWidth="1"/>
    <col min="13" max="13" width="2.33203125" style="1" customWidth="1"/>
    <col min="14" max="15" width="1.77734375" style="1" customWidth="1"/>
    <col min="16" max="16384" width="8.77734375" style="1"/>
  </cols>
  <sheetData>
    <row r="1" spans="1:20">
      <c r="A1" s="1" t="s">
        <v>114</v>
      </c>
      <c r="P1" s="1" t="s">
        <v>47</v>
      </c>
    </row>
    <row r="2" spans="1:20">
      <c r="A2" s="2" t="s">
        <v>48</v>
      </c>
      <c r="B2" s="2" t="s">
        <v>2</v>
      </c>
      <c r="C2" s="2" t="s">
        <v>60</v>
      </c>
      <c r="D2" s="2" t="s">
        <v>85</v>
      </c>
      <c r="E2" s="2" t="s">
        <v>50</v>
      </c>
      <c r="F2" s="2" t="s">
        <v>51</v>
      </c>
      <c r="G2" s="2" t="s">
        <v>52</v>
      </c>
      <c r="H2" s="2" t="s">
        <v>53</v>
      </c>
      <c r="I2" s="2" t="s">
        <v>54</v>
      </c>
      <c r="J2" s="2" t="s">
        <v>55</v>
      </c>
      <c r="K2" s="2" t="s">
        <v>56</v>
      </c>
      <c r="L2" s="2" t="s">
        <v>57</v>
      </c>
      <c r="N2" s="13"/>
      <c r="P2" s="3" t="s">
        <v>2</v>
      </c>
      <c r="Q2" s="3" t="s">
        <v>49</v>
      </c>
      <c r="R2" s="2" t="s">
        <v>86</v>
      </c>
      <c r="S2"/>
    </row>
    <row r="3" spans="1:20">
      <c r="A3" s="14" t="s">
        <v>87</v>
      </c>
      <c r="B3" s="3" t="s">
        <v>26</v>
      </c>
      <c r="C3" s="19" t="str" cm="1">
        <f t="array" ref="C3">IFERROR(_xlfn.IFS(VLOOKUP(B3,$P$3:$Q$10,2,0)="정회원","○",VLOOKUP(B3,$P$3:$Q$10,2,0)="준회원","△"),"")</f>
        <v>○</v>
      </c>
      <c r="D3" s="2" t="s">
        <v>58</v>
      </c>
      <c r="E3" s="2" t="s">
        <v>59</v>
      </c>
      <c r="F3" s="15">
        <v>30000</v>
      </c>
      <c r="G3" s="16">
        <v>12480</v>
      </c>
      <c r="H3" s="16">
        <v>15</v>
      </c>
      <c r="I3" s="16">
        <f>MIN(G3*H3*IF(OR(D3="제휴",D3="현금"),30%,10%),F3)</f>
        <v>30000</v>
      </c>
      <c r="J3" s="16">
        <f t="shared" ref="J3:J28" si="0">G3*H3</f>
        <v>187200</v>
      </c>
      <c r="K3" s="14">
        <f t="shared" ref="K3:K28" si="1">J3-I3</f>
        <v>157200</v>
      </c>
      <c r="L3" s="3" cm="1">
        <f t="array" ref="L3">fn단가(A3,G3)</f>
        <v>96</v>
      </c>
      <c r="N3" s="17"/>
      <c r="P3" s="3" t="s">
        <v>33</v>
      </c>
      <c r="Q3" s="3" t="s">
        <v>65</v>
      </c>
      <c r="R3" s="18" t="str">
        <f t="array" ref="R3">TEXT(SUM(IF($B$3:$B$28=P3,$K$3:$K$28))/SUM($K$3:$K$28),"0.0%")</f>
        <v>13.1%</v>
      </c>
      <c r="S3"/>
    </row>
    <row r="4" spans="1:20">
      <c r="A4" s="14" t="s">
        <v>88</v>
      </c>
      <c r="B4" s="3" t="s">
        <v>27</v>
      </c>
      <c r="C4" s="19" t="str" cm="1">
        <f t="array" ref="C4">IFERROR(_xlfn.IFS(VLOOKUP(B4,$P$3:$Q$10,2,0)="정회원","○",VLOOKUP(B4,$P$3:$Q$10,2,0)="준회원","△"),"")</f>
        <v>△</v>
      </c>
      <c r="D4" s="2" t="s">
        <v>61</v>
      </c>
      <c r="E4" s="2" t="s">
        <v>62</v>
      </c>
      <c r="F4" s="15">
        <v>50000</v>
      </c>
      <c r="G4" s="16">
        <v>7040</v>
      </c>
      <c r="H4" s="16">
        <v>6</v>
      </c>
      <c r="I4" s="16">
        <f t="shared" ref="I4:I28" si="2">MIN(G4*H4*IF(OR(D4="제휴",D4="현금"),30%,10%),F4)</f>
        <v>4224</v>
      </c>
      <c r="J4" s="16">
        <f t="shared" si="0"/>
        <v>42240</v>
      </c>
      <c r="K4" s="14">
        <f t="shared" si="1"/>
        <v>38016</v>
      </c>
      <c r="L4" s="3" cm="1">
        <f t="array" ref="L4">fn단가(A4,G4)</f>
        <v>28</v>
      </c>
      <c r="N4" s="17"/>
      <c r="P4" s="3" t="s">
        <v>28</v>
      </c>
      <c r="Q4" s="3" t="s">
        <v>65</v>
      </c>
      <c r="R4" s="18" t="str">
        <f t="array" ref="R4">TEXT(SUM(IF($B$3:$B$28=P4,$K$3:$K$28))/SUM($K$3:$K$28),"0.0%")</f>
        <v>16.4%</v>
      </c>
      <c r="S4"/>
    </row>
    <row r="5" spans="1:20">
      <c r="A5" s="14" t="s">
        <v>89</v>
      </c>
      <c r="B5" s="3" t="s">
        <v>28</v>
      </c>
      <c r="C5" s="19" t="str" cm="1">
        <f t="array" ref="C5">IFERROR(_xlfn.IFS(VLOOKUP(B5,$P$3:$Q$10,2,0)="정회원","○",VLOOKUP(B5,$P$3:$Q$10,2,0)="준회원","△"),"")</f>
        <v/>
      </c>
      <c r="D5" s="2" t="s">
        <v>64</v>
      </c>
      <c r="E5" s="2" t="s">
        <v>62</v>
      </c>
      <c r="F5" s="15">
        <v>12000</v>
      </c>
      <c r="G5" s="16">
        <v>19520</v>
      </c>
      <c r="H5" s="16">
        <v>18</v>
      </c>
      <c r="I5" s="16">
        <f t="shared" si="2"/>
        <v>12000</v>
      </c>
      <c r="J5" s="16">
        <f t="shared" si="0"/>
        <v>351360</v>
      </c>
      <c r="K5" s="14">
        <f t="shared" si="1"/>
        <v>339360</v>
      </c>
      <c r="L5" s="3" cm="1">
        <f t="array" ref="L5">fn단가(A5,G5)</f>
        <v>72</v>
      </c>
      <c r="N5" s="17"/>
      <c r="P5" s="3" t="s">
        <v>29</v>
      </c>
      <c r="Q5" s="3" t="s">
        <v>60</v>
      </c>
      <c r="R5" s="18" t="str">
        <f t="array" ref="R5">TEXT(SUM(IF($B$3:$B$28=P5,$K$3:$K$28))/SUM($K$3:$K$28),"0.0%")</f>
        <v>20.6%</v>
      </c>
      <c r="S5"/>
    </row>
    <row r="6" spans="1:20">
      <c r="A6" s="14" t="s">
        <v>90</v>
      </c>
      <c r="B6" s="3" t="s">
        <v>29</v>
      </c>
      <c r="C6" s="19" t="str" cm="1">
        <f t="array" ref="C6">IFERROR(_xlfn.IFS(VLOOKUP(B6,$P$3:$Q$10,2,0)="정회원","○",VLOOKUP(B6,$P$3:$Q$10,2,0)="준회원","△"),"")</f>
        <v>○</v>
      </c>
      <c r="D6" s="2" t="s">
        <v>58</v>
      </c>
      <c r="E6" s="2" t="s">
        <v>62</v>
      </c>
      <c r="F6" s="15">
        <v>500000</v>
      </c>
      <c r="G6" s="16">
        <v>30400</v>
      </c>
      <c r="H6" s="16">
        <v>26</v>
      </c>
      <c r="I6" s="16">
        <f t="shared" si="2"/>
        <v>237120</v>
      </c>
      <c r="J6" s="16">
        <f t="shared" si="0"/>
        <v>790400</v>
      </c>
      <c r="K6" s="14">
        <f t="shared" si="1"/>
        <v>553280</v>
      </c>
      <c r="L6" s="3" cm="1">
        <f t="array" ref="L6">fn단가(A6,G6)</f>
        <v>117</v>
      </c>
      <c r="N6" s="17"/>
      <c r="P6" s="3" t="s">
        <v>30</v>
      </c>
      <c r="Q6" s="3" t="s">
        <v>60</v>
      </c>
      <c r="R6" s="18" t="str">
        <f t="array" ref="R6">TEXT(SUM(IF($B$3:$B$28=P6,$K$3:$K$28))/SUM($K$3:$K$28),"0.0%")</f>
        <v>5.1%</v>
      </c>
      <c r="S6"/>
    </row>
    <row r="7" spans="1:20">
      <c r="A7" s="14" t="s">
        <v>91</v>
      </c>
      <c r="B7" s="3" t="s">
        <v>30</v>
      </c>
      <c r="C7" s="19" t="str" cm="1">
        <f t="array" ref="C7">IFERROR(_xlfn.IFS(VLOOKUP(B7,$P$3:$Q$10,2,0)="정회원","○",VLOOKUP(B7,$P$3:$Q$10,2,0)="준회원","△"),"")</f>
        <v>○</v>
      </c>
      <c r="D7" s="2" t="s">
        <v>61</v>
      </c>
      <c r="E7" s="2" t="s">
        <v>62</v>
      </c>
      <c r="F7" s="15">
        <v>0</v>
      </c>
      <c r="G7" s="16">
        <v>4160</v>
      </c>
      <c r="H7" s="16">
        <v>6</v>
      </c>
      <c r="I7" s="16">
        <f t="shared" si="2"/>
        <v>0</v>
      </c>
      <c r="J7" s="16">
        <f t="shared" si="0"/>
        <v>24960</v>
      </c>
      <c r="K7" s="14">
        <f t="shared" si="1"/>
        <v>24960</v>
      </c>
      <c r="L7" s="3" cm="1">
        <f t="array" ref="L7">fn단가(A7,G7)</f>
        <v>68</v>
      </c>
      <c r="N7" s="17"/>
      <c r="P7" s="3" t="s">
        <v>67</v>
      </c>
      <c r="Q7" s="3" t="s">
        <v>60</v>
      </c>
      <c r="R7" s="18" t="str">
        <f t="array" ref="R7">TEXT(SUM(IF($B$3:$B$28=P7,$K$3:$K$28))/SUM($K$3:$K$28),"0.0%")</f>
        <v>9.6%</v>
      </c>
      <c r="S7"/>
    </row>
    <row r="8" spans="1:20">
      <c r="A8" s="14" t="s">
        <v>92</v>
      </c>
      <c r="B8" s="3" t="s">
        <v>31</v>
      </c>
      <c r="C8" s="19" t="str" cm="1">
        <f t="array" ref="C8">IFERROR(_xlfn.IFS(VLOOKUP(B8,$P$3:$Q$10,2,0)="정회원","○",VLOOKUP(B8,$P$3:$Q$10,2,0)="준회원","△"),"")</f>
        <v>△</v>
      </c>
      <c r="D8" s="2" t="s">
        <v>64</v>
      </c>
      <c r="E8" s="2" t="s">
        <v>59</v>
      </c>
      <c r="F8" s="15">
        <v>350000</v>
      </c>
      <c r="G8" s="16">
        <v>26560</v>
      </c>
      <c r="H8" s="16">
        <v>70</v>
      </c>
      <c r="I8" s="16">
        <f t="shared" si="2"/>
        <v>185920</v>
      </c>
      <c r="J8" s="16">
        <f t="shared" si="0"/>
        <v>1859200</v>
      </c>
      <c r="K8" s="14">
        <f t="shared" si="1"/>
        <v>1673280</v>
      </c>
      <c r="L8" s="3" cm="1">
        <f t="array" ref="L8">fn단가(A8,G8)</f>
        <v>200</v>
      </c>
      <c r="N8" s="17"/>
      <c r="P8" s="3" t="s">
        <v>32</v>
      </c>
      <c r="Q8" s="3" t="s">
        <v>63</v>
      </c>
      <c r="R8" s="18" t="str">
        <f t="array" ref="R8">TEXT(SUM(IF($B$3:$B$28=P8,$K$3:$K$28))/SUM($K$3:$K$28),"0.0%")</f>
        <v>8.9%</v>
      </c>
      <c r="S8"/>
    </row>
    <row r="9" spans="1:20">
      <c r="A9" s="14" t="s">
        <v>93</v>
      </c>
      <c r="B9" s="3" t="s">
        <v>32</v>
      </c>
      <c r="C9" s="19" t="str" cm="1">
        <f t="array" ref="C9">IFERROR(_xlfn.IFS(VLOOKUP(B9,$P$3:$Q$10,2,0)="정회원","○",VLOOKUP(B9,$P$3:$Q$10,2,0)="준회원","△"),"")</f>
        <v>△</v>
      </c>
      <c r="D9" s="2" t="s">
        <v>66</v>
      </c>
      <c r="E9" s="2" t="s">
        <v>59</v>
      </c>
      <c r="F9" s="15">
        <v>0</v>
      </c>
      <c r="G9" s="16">
        <v>26240</v>
      </c>
      <c r="H9" s="16">
        <v>57</v>
      </c>
      <c r="I9" s="16">
        <f t="shared" si="2"/>
        <v>0</v>
      </c>
      <c r="J9" s="16">
        <f t="shared" si="0"/>
        <v>1495680</v>
      </c>
      <c r="K9" s="14">
        <f t="shared" si="1"/>
        <v>1495680</v>
      </c>
      <c r="L9" s="3" cm="1">
        <f t="array" ref="L9">fn단가(A9,G9)</f>
        <v>236</v>
      </c>
      <c r="N9" s="17"/>
      <c r="P9" s="3" t="s">
        <v>27</v>
      </c>
      <c r="Q9" s="3" t="s">
        <v>63</v>
      </c>
      <c r="R9" s="18" t="str">
        <f t="array" ref="R9">TEXT(SUM(IF($B$3:$B$28=P9,$K$3:$K$28))/SUM($K$3:$K$28),"0.0%")</f>
        <v>8.6%</v>
      </c>
      <c r="S9"/>
    </row>
    <row r="10" spans="1:20">
      <c r="A10" s="14" t="s">
        <v>94</v>
      </c>
      <c r="B10" s="3" t="s">
        <v>33</v>
      </c>
      <c r="C10" s="19" t="str" cm="1">
        <f t="array" ref="C10">IFERROR(_xlfn.IFS(VLOOKUP(B10,$P$3:$Q$10,2,0)="정회원","○",VLOOKUP(B10,$P$3:$Q$10,2,0)="준회원","△"),"")</f>
        <v/>
      </c>
      <c r="D10" s="2" t="s">
        <v>61</v>
      </c>
      <c r="E10" s="2" t="s">
        <v>59</v>
      </c>
      <c r="F10" s="15">
        <v>1000000</v>
      </c>
      <c r="G10" s="16">
        <v>25600</v>
      </c>
      <c r="H10" s="16">
        <v>99</v>
      </c>
      <c r="I10" s="16">
        <f t="shared" si="2"/>
        <v>253440</v>
      </c>
      <c r="J10" s="16">
        <f t="shared" si="0"/>
        <v>2534400</v>
      </c>
      <c r="K10" s="14">
        <f t="shared" si="1"/>
        <v>2280960</v>
      </c>
      <c r="L10" s="3" cm="1">
        <f t="array" ref="L10">fn단가(A10,G10)</f>
        <v>131</v>
      </c>
      <c r="N10" s="17"/>
      <c r="P10" s="3" t="s">
        <v>31</v>
      </c>
      <c r="Q10" s="3" t="s">
        <v>63</v>
      </c>
      <c r="R10" s="18" t="str">
        <f t="array" ref="R10">TEXT(SUM(IF($B$3:$B$28=P10,$K$3:$K$28))/SUM($K$3:$K$28),"0.0%")</f>
        <v>17.6%</v>
      </c>
      <c r="S10"/>
    </row>
    <row r="11" spans="1:20">
      <c r="A11" s="14" t="s">
        <v>95</v>
      </c>
      <c r="B11" s="3" t="s">
        <v>29</v>
      </c>
      <c r="C11" s="19" t="str" cm="1">
        <f t="array" ref="C11">IFERROR(_xlfn.IFS(VLOOKUP(B11,$P$3:$Q$10,2,0)="정회원","○",VLOOKUP(B11,$P$3:$Q$10,2,0)="준회원","△"),"")</f>
        <v>○</v>
      </c>
      <c r="D11" s="2" t="s">
        <v>64</v>
      </c>
      <c r="E11" s="2" t="s">
        <v>62</v>
      </c>
      <c r="F11" s="15">
        <v>70300</v>
      </c>
      <c r="G11" s="16">
        <v>15360</v>
      </c>
      <c r="H11" s="16">
        <v>87</v>
      </c>
      <c r="I11" s="16">
        <f t="shared" si="2"/>
        <v>70300</v>
      </c>
      <c r="J11" s="16">
        <f t="shared" si="0"/>
        <v>1336320</v>
      </c>
      <c r="K11" s="14">
        <f t="shared" si="1"/>
        <v>1266020</v>
      </c>
      <c r="L11" s="3" cm="1">
        <f t="array" ref="L11">fn단가(A11,G11)</f>
        <v>123</v>
      </c>
      <c r="N11" s="17"/>
    </row>
    <row r="12" spans="1:20">
      <c r="A12" s="14" t="s">
        <v>96</v>
      </c>
      <c r="B12" s="3" t="s">
        <v>30</v>
      </c>
      <c r="C12" s="19" t="str" cm="1">
        <f t="array" ref="C12">IFERROR(_xlfn.IFS(VLOOKUP(B12,$P$3:$Q$10,2,0)="정회원","○",VLOOKUP(B12,$P$3:$Q$10,2,0)="준회원","△"),"")</f>
        <v>○</v>
      </c>
      <c r="D12" s="2" t="s">
        <v>66</v>
      </c>
      <c r="E12" s="2" t="s">
        <v>62</v>
      </c>
      <c r="F12" s="16">
        <v>302000</v>
      </c>
      <c r="G12" s="16">
        <v>3200</v>
      </c>
      <c r="H12" s="16">
        <v>81</v>
      </c>
      <c r="I12" s="16">
        <f t="shared" si="2"/>
        <v>77760</v>
      </c>
      <c r="J12" s="16">
        <f t="shared" si="0"/>
        <v>259200</v>
      </c>
      <c r="K12" s="14">
        <f t="shared" si="1"/>
        <v>181440</v>
      </c>
      <c r="L12" s="3" cm="1">
        <f t="array" ref="L12">fn단가(A12,G12)</f>
        <v>64</v>
      </c>
      <c r="N12" s="17"/>
      <c r="P12" s="1" t="s">
        <v>142</v>
      </c>
    </row>
    <row r="13" spans="1:20">
      <c r="A13" s="14" t="s">
        <v>97</v>
      </c>
      <c r="B13" s="3" t="s">
        <v>31</v>
      </c>
      <c r="C13" s="19" t="str" cm="1">
        <f t="array" ref="C13">IFERROR(_xlfn.IFS(VLOOKUP(B13,$P$3:$Q$10,2,0)="정회원","○",VLOOKUP(B13,$P$3:$Q$10,2,0)="준회원","△"),"")</f>
        <v>△</v>
      </c>
      <c r="D13" s="2" t="s">
        <v>58</v>
      </c>
      <c r="E13" s="2" t="s">
        <v>62</v>
      </c>
      <c r="F13" s="16">
        <v>72000</v>
      </c>
      <c r="G13" s="16">
        <v>10560</v>
      </c>
      <c r="H13" s="16">
        <v>12</v>
      </c>
      <c r="I13" s="16">
        <f t="shared" si="2"/>
        <v>38016</v>
      </c>
      <c r="J13" s="16">
        <f t="shared" si="0"/>
        <v>126720</v>
      </c>
      <c r="K13" s="14">
        <f t="shared" si="1"/>
        <v>88704</v>
      </c>
      <c r="L13" s="3" cm="1">
        <f t="array" ref="L13">fn단가(A13,G13)</f>
        <v>55</v>
      </c>
      <c r="N13" s="17"/>
      <c r="P13" s="2" t="s">
        <v>148</v>
      </c>
      <c r="Q13" s="2" t="s">
        <v>149</v>
      </c>
      <c r="R13" s="2" t="s">
        <v>150</v>
      </c>
      <c r="S13" s="2" t="s">
        <v>151</v>
      </c>
      <c r="T13" s="2" t="s">
        <v>152</v>
      </c>
    </row>
    <row r="14" spans="1:20">
      <c r="A14" s="14" t="s">
        <v>98</v>
      </c>
      <c r="B14" s="3" t="s">
        <v>30</v>
      </c>
      <c r="C14" s="19" t="str" cm="1">
        <f t="array" ref="C14">IFERROR(_xlfn.IFS(VLOOKUP(B14,$P$3:$Q$10,2,0)="정회원","○",VLOOKUP(B14,$P$3:$Q$10,2,0)="준회원","△"),"")</f>
        <v>○</v>
      </c>
      <c r="D14" s="2" t="s">
        <v>58</v>
      </c>
      <c r="E14" s="2" t="s">
        <v>59</v>
      </c>
      <c r="F14" s="16">
        <v>14000</v>
      </c>
      <c r="G14" s="16">
        <v>19200</v>
      </c>
      <c r="H14" s="16">
        <v>19</v>
      </c>
      <c r="I14" s="16">
        <f t="shared" si="2"/>
        <v>14000</v>
      </c>
      <c r="J14" s="16">
        <f t="shared" si="0"/>
        <v>364800</v>
      </c>
      <c r="K14" s="14">
        <f t="shared" si="1"/>
        <v>350800</v>
      </c>
      <c r="L14" s="3" cm="1">
        <f t="array" ref="L14">fn단가(A14,G14)</f>
        <v>63</v>
      </c>
      <c r="N14" s="17"/>
      <c r="P14" s="2" t="s">
        <v>143</v>
      </c>
      <c r="Q14" s="2" t="str">
        <f t="array" ref="Q14">COUNT(IF((LEFT($A$3:$A$28,1)=$P14)*($D$3:$D$28=Q$13),1))&amp;"건"</f>
        <v>0건</v>
      </c>
      <c r="R14" s="2" t="str">
        <f t="array" ref="R14">COUNT(IF((LEFT($A$3:$A$28,1)=$P14)*($D$3:$D$28=R$13),1))&amp;"건"</f>
        <v>1건</v>
      </c>
      <c r="S14" s="2" t="str">
        <f t="array" ref="S14">COUNT(IF((LEFT($A$3:$A$28,1)=$P14)*($D$3:$D$28=S$13),1))&amp;"건"</f>
        <v>3건</v>
      </c>
      <c r="T14" s="2" t="str">
        <f t="array" ref="T14">COUNT(IF((LEFT($A$3:$A$28,1)=$P14)*($D$3:$D$28=T$13),1))&amp;"건"</f>
        <v>1건</v>
      </c>
    </row>
    <row r="15" spans="1:20">
      <c r="A15" s="14" t="s">
        <v>99</v>
      </c>
      <c r="B15" s="3" t="s">
        <v>26</v>
      </c>
      <c r="C15" s="19" t="str" cm="1">
        <f t="array" ref="C15">IFERROR(_xlfn.IFS(VLOOKUP(B15,$P$3:$Q$10,2,0)="정회원","○",VLOOKUP(B15,$P$3:$Q$10,2,0)="준회원","△"),"")</f>
        <v>○</v>
      </c>
      <c r="D15" s="2" t="s">
        <v>61</v>
      </c>
      <c r="E15" s="2" t="s">
        <v>59</v>
      </c>
      <c r="F15" s="16">
        <v>50000</v>
      </c>
      <c r="G15" s="16">
        <v>16000</v>
      </c>
      <c r="H15" s="16">
        <v>13</v>
      </c>
      <c r="I15" s="16">
        <f t="shared" si="2"/>
        <v>20800</v>
      </c>
      <c r="J15" s="16">
        <f t="shared" si="0"/>
        <v>208000</v>
      </c>
      <c r="K15" s="14">
        <f t="shared" si="1"/>
        <v>187200</v>
      </c>
      <c r="L15" s="3" cm="1">
        <f t="array" ref="L15">fn단가(A15,G15)</f>
        <v>320</v>
      </c>
      <c r="N15" s="17"/>
      <c r="P15" s="2" t="s">
        <v>144</v>
      </c>
      <c r="Q15" s="2" t="str">
        <f t="array" ref="Q15">COUNT(IF((LEFT($A$3:$A$28,1)=$P15)*($D$3:$D$28=Q$13),1))&amp;"건"</f>
        <v>2건</v>
      </c>
      <c r="R15" s="2" t="str">
        <f t="array" ref="R15">COUNT(IF((LEFT($A$3:$A$28,1)=$P15)*($D$3:$D$28=R$13),1))&amp;"건"</f>
        <v>0건</v>
      </c>
      <c r="S15" s="2" t="str">
        <f t="array" ref="S15">COUNT(IF((LEFT($A$3:$A$28,1)=$P15)*($D$3:$D$28=S$13),1))&amp;"건"</f>
        <v>1건</v>
      </c>
      <c r="T15" s="2" t="str">
        <f t="array" ref="T15">COUNT(IF((LEFT($A$3:$A$28,1)=$P15)*($D$3:$D$28=T$13),1))&amp;"건"</f>
        <v>3건</v>
      </c>
    </row>
    <row r="16" spans="1:20">
      <c r="A16" s="14" t="s">
        <v>100</v>
      </c>
      <c r="B16" s="3" t="s">
        <v>27</v>
      </c>
      <c r="C16" s="19" t="str" cm="1">
        <f t="array" ref="C16">IFERROR(_xlfn.IFS(VLOOKUP(B16,$P$3:$Q$10,2,0)="정회원","○",VLOOKUP(B16,$P$3:$Q$10,2,0)="준회원","△"),"")</f>
        <v>△</v>
      </c>
      <c r="D16" s="2" t="s">
        <v>64</v>
      </c>
      <c r="E16" s="2" t="s">
        <v>59</v>
      </c>
      <c r="F16" s="16">
        <v>60000</v>
      </c>
      <c r="G16" s="16">
        <v>9280</v>
      </c>
      <c r="H16" s="16">
        <v>52</v>
      </c>
      <c r="I16" s="16">
        <f t="shared" si="2"/>
        <v>48256</v>
      </c>
      <c r="J16" s="16">
        <f t="shared" si="0"/>
        <v>482560</v>
      </c>
      <c r="K16" s="14">
        <f t="shared" si="1"/>
        <v>434304</v>
      </c>
      <c r="L16" s="3" cm="1">
        <f t="array" ref="L16">fn단가(A16,G16)</f>
        <v>56</v>
      </c>
      <c r="N16" s="17"/>
      <c r="P16" s="2" t="s">
        <v>145</v>
      </c>
      <c r="Q16" s="2" t="str">
        <f t="array" ref="Q16">COUNT(IF((LEFT($A$3:$A$28,1)=$P16)*($D$3:$D$28=Q$13),1))&amp;"건"</f>
        <v>1건</v>
      </c>
      <c r="R16" s="2" t="str">
        <f t="array" ref="R16">COUNT(IF((LEFT($A$3:$A$28,1)=$P16)*($D$3:$D$28=R$13),1))&amp;"건"</f>
        <v>3건</v>
      </c>
      <c r="S16" s="2" t="str">
        <f t="array" ref="S16">COUNT(IF((LEFT($A$3:$A$28,1)=$P16)*($D$3:$D$28=S$13),1))&amp;"건"</f>
        <v>1건</v>
      </c>
      <c r="T16" s="2" t="str">
        <f t="array" ref="T16">COUNT(IF((LEFT($A$3:$A$28,1)=$P16)*($D$3:$D$28=T$13),1))&amp;"건"</f>
        <v>0건</v>
      </c>
    </row>
    <row r="17" spans="1:20">
      <c r="A17" s="14" t="s">
        <v>101</v>
      </c>
      <c r="B17" s="3" t="s">
        <v>28</v>
      </c>
      <c r="C17" s="19" t="str" cm="1">
        <f t="array" ref="C17">IFERROR(_xlfn.IFS(VLOOKUP(B17,$P$3:$Q$10,2,0)="정회원","○",VLOOKUP(B17,$P$3:$Q$10,2,0)="준회원","△"),"")</f>
        <v/>
      </c>
      <c r="D17" s="2" t="s">
        <v>66</v>
      </c>
      <c r="E17" s="2" t="s">
        <v>59</v>
      </c>
      <c r="F17" s="16">
        <v>5000</v>
      </c>
      <c r="G17" s="16">
        <v>28160</v>
      </c>
      <c r="H17" s="16">
        <v>66</v>
      </c>
      <c r="I17" s="16">
        <f t="shared" si="2"/>
        <v>5000</v>
      </c>
      <c r="J17" s="16">
        <f t="shared" si="0"/>
        <v>1858560</v>
      </c>
      <c r="K17" s="14">
        <f t="shared" si="1"/>
        <v>1853560</v>
      </c>
      <c r="L17" s="3" cm="1">
        <f t="array" ref="L17">fn단가(A17,G17)</f>
        <v>122</v>
      </c>
      <c r="N17" s="17"/>
      <c r="P17" s="2" t="s">
        <v>146</v>
      </c>
      <c r="Q17" s="2" t="str">
        <f t="array" ref="Q17">COUNT(IF((LEFT($A$3:$A$28,1)=$P17)*($D$3:$D$28=Q$13),1))&amp;"건"</f>
        <v>0건</v>
      </c>
      <c r="R17" s="2" t="str">
        <f t="array" ref="R17">COUNT(IF((LEFT($A$3:$A$28,1)=$P17)*($D$3:$D$28=R$13),1))&amp;"건"</f>
        <v>0건</v>
      </c>
      <c r="S17" s="2" t="str">
        <f t="array" ref="S17">COUNT(IF((LEFT($A$3:$A$28,1)=$P17)*($D$3:$D$28=S$13),1))&amp;"건"</f>
        <v>2건</v>
      </c>
      <c r="T17" s="2" t="str">
        <f t="array" ref="T17">COUNT(IF((LEFT($A$3:$A$28,1)=$P17)*($D$3:$D$28=T$13),1))&amp;"건"</f>
        <v>3건</v>
      </c>
    </row>
    <row r="18" spans="1:20">
      <c r="A18" s="14" t="s">
        <v>102</v>
      </c>
      <c r="B18" s="3" t="s">
        <v>29</v>
      </c>
      <c r="C18" s="19" t="str" cm="1">
        <f t="array" ref="C18">IFERROR(_xlfn.IFS(VLOOKUP(B18,$P$3:$Q$10,2,0)="정회원","○",VLOOKUP(B18,$P$3:$Q$10,2,0)="준회원","△"),"")</f>
        <v>○</v>
      </c>
      <c r="D18" s="2" t="s">
        <v>66</v>
      </c>
      <c r="E18" s="2" t="s">
        <v>62</v>
      </c>
      <c r="F18" s="16">
        <v>11000</v>
      </c>
      <c r="G18" s="16">
        <v>15040</v>
      </c>
      <c r="H18" s="16">
        <v>23</v>
      </c>
      <c r="I18" s="16">
        <f t="shared" si="2"/>
        <v>11000</v>
      </c>
      <c r="J18" s="16">
        <f t="shared" si="0"/>
        <v>345920</v>
      </c>
      <c r="K18" s="14">
        <f t="shared" si="1"/>
        <v>334920</v>
      </c>
      <c r="L18" s="3" cm="1">
        <f t="array" ref="L18">fn단가(A18,G18)</f>
        <v>100</v>
      </c>
      <c r="N18" s="17"/>
      <c r="P18" s="2" t="s">
        <v>147</v>
      </c>
      <c r="Q18" s="2" t="str">
        <f t="array" ref="Q18">COUNT(IF((LEFT($A$3:$A$28,1)=$P18)*($D$3:$D$28=Q$13),1))&amp;"건"</f>
        <v>1건</v>
      </c>
      <c r="R18" s="2" t="str">
        <f t="array" ref="R18">COUNT(IF((LEFT($A$3:$A$28,1)=$P18)*($D$3:$D$28=R$13),1))&amp;"건"</f>
        <v>3건</v>
      </c>
      <c r="S18" s="2" t="str">
        <f t="array" ref="S18">COUNT(IF((LEFT($A$3:$A$28,1)=$P18)*($D$3:$D$28=S$13),1))&amp;"건"</f>
        <v>0건</v>
      </c>
      <c r="T18" s="2" t="str">
        <f t="array" ref="T18">COUNT(IF((LEFT($A$3:$A$28,1)=$P18)*($D$3:$D$28=T$13),1))&amp;"건"</f>
        <v>1건</v>
      </c>
    </row>
    <row r="19" spans="1:20">
      <c r="A19" s="14" t="s">
        <v>103</v>
      </c>
      <c r="B19" s="3" t="s">
        <v>30</v>
      </c>
      <c r="C19" s="19" t="str" cm="1">
        <f t="array" ref="C19">IFERROR(_xlfn.IFS(VLOOKUP(B19,$P$3:$Q$10,2,0)="정회원","○",VLOOKUP(B19,$P$3:$Q$10,2,0)="준회원","△"),"")</f>
        <v>○</v>
      </c>
      <c r="D19" s="2" t="s">
        <v>61</v>
      </c>
      <c r="E19" s="2" t="s">
        <v>62</v>
      </c>
      <c r="F19" s="16">
        <v>7000</v>
      </c>
      <c r="G19" s="16">
        <v>9280</v>
      </c>
      <c r="H19" s="16">
        <v>54</v>
      </c>
      <c r="I19" s="16">
        <f t="shared" si="2"/>
        <v>7000</v>
      </c>
      <c r="J19" s="16">
        <f t="shared" si="0"/>
        <v>501120</v>
      </c>
      <c r="K19" s="14">
        <f t="shared" si="1"/>
        <v>494120</v>
      </c>
      <c r="L19" s="3" cm="1">
        <f t="array" ref="L19">fn단가(A19,G19)</f>
        <v>46</v>
      </c>
      <c r="N19" s="17"/>
    </row>
    <row r="20" spans="1:20">
      <c r="A20" s="14" t="s">
        <v>104</v>
      </c>
      <c r="B20" s="3" t="s">
        <v>31</v>
      </c>
      <c r="C20" s="19" t="str" cm="1">
        <f t="array" ref="C20">IFERROR(_xlfn.IFS(VLOOKUP(B20,$P$3:$Q$10,2,0)="정회원","○",VLOOKUP(B20,$P$3:$Q$10,2,0)="준회원","△"),"")</f>
        <v>△</v>
      </c>
      <c r="D20" s="2" t="s">
        <v>64</v>
      </c>
      <c r="E20" s="2" t="s">
        <v>62</v>
      </c>
      <c r="F20" s="16">
        <v>21000</v>
      </c>
      <c r="G20" s="16">
        <v>26240</v>
      </c>
      <c r="H20" s="16">
        <v>50</v>
      </c>
      <c r="I20" s="16">
        <f t="shared" si="2"/>
        <v>21000</v>
      </c>
      <c r="J20" s="16">
        <f t="shared" si="0"/>
        <v>1312000</v>
      </c>
      <c r="K20" s="14">
        <f t="shared" si="1"/>
        <v>1291000</v>
      </c>
      <c r="L20" s="3" cm="1">
        <f t="array" ref="L20">fn단가(A20,G20)</f>
        <v>199</v>
      </c>
      <c r="N20" s="17"/>
    </row>
    <row r="21" spans="1:20">
      <c r="A21" s="14" t="s">
        <v>105</v>
      </c>
      <c r="B21" s="3" t="s">
        <v>32</v>
      </c>
      <c r="C21" s="19" t="str" cm="1">
        <f t="array" ref="C21">IFERROR(_xlfn.IFS(VLOOKUP(B21,$P$3:$Q$10,2,0)="정회원","○",VLOOKUP(B21,$P$3:$Q$10,2,0)="준회원","△"),"")</f>
        <v>△</v>
      </c>
      <c r="D21" s="2" t="s">
        <v>66</v>
      </c>
      <c r="E21" s="2" t="s">
        <v>59</v>
      </c>
      <c r="F21" s="16">
        <v>72000</v>
      </c>
      <c r="G21" s="16">
        <v>4480</v>
      </c>
      <c r="H21" s="16">
        <v>56</v>
      </c>
      <c r="I21" s="16">
        <f t="shared" si="2"/>
        <v>72000</v>
      </c>
      <c r="J21" s="16">
        <f t="shared" si="0"/>
        <v>250880</v>
      </c>
      <c r="K21" s="14">
        <f t="shared" si="1"/>
        <v>178880</v>
      </c>
      <c r="L21" s="3" cm="1">
        <f t="array" ref="L21">fn단가(A21,G21)</f>
        <v>75</v>
      </c>
      <c r="N21" s="17"/>
    </row>
    <row r="22" spans="1:20">
      <c r="A22" s="14" t="s">
        <v>106</v>
      </c>
      <c r="B22" s="3" t="s">
        <v>26</v>
      </c>
      <c r="C22" s="19" t="str" cm="1">
        <f t="array" ref="C22">IFERROR(_xlfn.IFS(VLOOKUP(B22,$P$3:$Q$10,2,0)="정회원","○",VLOOKUP(B22,$P$3:$Q$10,2,0)="준회원","△"),"")</f>
        <v>○</v>
      </c>
      <c r="D22" s="2" t="s">
        <v>61</v>
      </c>
      <c r="E22" s="2" t="s">
        <v>59</v>
      </c>
      <c r="F22" s="16">
        <v>90000</v>
      </c>
      <c r="G22" s="16">
        <v>18880</v>
      </c>
      <c r="H22" s="16">
        <v>91</v>
      </c>
      <c r="I22" s="16">
        <f t="shared" si="2"/>
        <v>90000</v>
      </c>
      <c r="J22" s="16">
        <f t="shared" si="0"/>
        <v>1718080</v>
      </c>
      <c r="K22" s="14">
        <f t="shared" si="1"/>
        <v>1628080</v>
      </c>
      <c r="L22" s="3" cm="1">
        <f t="array" ref="L22">fn단가(A22,G22)</f>
        <v>85</v>
      </c>
      <c r="N22" s="17"/>
    </row>
    <row r="23" spans="1:20">
      <c r="A23" s="14" t="s">
        <v>107</v>
      </c>
      <c r="B23" s="3" t="s">
        <v>27</v>
      </c>
      <c r="C23" s="19" t="str" cm="1">
        <f t="array" ref="C23">IFERROR(_xlfn.IFS(VLOOKUP(B23,$P$3:$Q$10,2,0)="정회원","○",VLOOKUP(B23,$P$3:$Q$10,2,0)="준회원","△"),"")</f>
        <v>△</v>
      </c>
      <c r="D23" s="2" t="s">
        <v>64</v>
      </c>
      <c r="E23" s="2" t="s">
        <v>59</v>
      </c>
      <c r="F23" s="16">
        <v>1057000</v>
      </c>
      <c r="G23" s="16">
        <v>22720</v>
      </c>
      <c r="H23" s="16">
        <v>63</v>
      </c>
      <c r="I23" s="16">
        <f t="shared" si="2"/>
        <v>143136</v>
      </c>
      <c r="J23" s="16">
        <f t="shared" si="0"/>
        <v>1431360</v>
      </c>
      <c r="K23" s="14">
        <f t="shared" si="1"/>
        <v>1288224</v>
      </c>
      <c r="L23" s="3" cm="1">
        <f t="array" ref="L23">fn단가(A23,G23)</f>
        <v>123</v>
      </c>
      <c r="N23" s="17"/>
    </row>
    <row r="24" spans="1:20">
      <c r="A24" s="14" t="s">
        <v>108</v>
      </c>
      <c r="B24" s="3" t="s">
        <v>28</v>
      </c>
      <c r="C24" s="19" t="str" cm="1">
        <f t="array" ref="C24">IFERROR(_xlfn.IFS(VLOOKUP(B24,$P$3:$Q$10,2,0)="정회원","○",VLOOKUP(B24,$P$3:$Q$10,2,0)="준회원","△"),"")</f>
        <v/>
      </c>
      <c r="D24" s="2" t="s">
        <v>66</v>
      </c>
      <c r="E24" s="2" t="s">
        <v>62</v>
      </c>
      <c r="F24" s="16">
        <v>64000</v>
      </c>
      <c r="G24" s="16">
        <v>14720</v>
      </c>
      <c r="H24" s="16">
        <v>83</v>
      </c>
      <c r="I24" s="16">
        <f t="shared" si="2"/>
        <v>64000</v>
      </c>
      <c r="J24" s="16">
        <f t="shared" si="0"/>
        <v>1221760</v>
      </c>
      <c r="K24" s="14">
        <f t="shared" si="1"/>
        <v>1157760</v>
      </c>
      <c r="L24" s="3" cm="1">
        <f t="array" ref="L24">fn단가(A24,G24)</f>
        <v>58</v>
      </c>
      <c r="N24" s="17"/>
    </row>
    <row r="25" spans="1:20">
      <c r="A25" s="14" t="s">
        <v>109</v>
      </c>
      <c r="B25" s="3" t="s">
        <v>29</v>
      </c>
      <c r="C25" s="19" t="str" cm="1">
        <f t="array" ref="C25">IFERROR(_xlfn.IFS(VLOOKUP(B25,$P$3:$Q$10,2,0)="정회원","○",VLOOKUP(B25,$P$3:$Q$10,2,0)="준회원","△"),"")</f>
        <v>○</v>
      </c>
      <c r="D25" s="2" t="s">
        <v>66</v>
      </c>
      <c r="E25" s="2" t="s">
        <v>62</v>
      </c>
      <c r="F25" s="16">
        <v>18000</v>
      </c>
      <c r="G25" s="16">
        <v>26240</v>
      </c>
      <c r="H25" s="16">
        <v>79</v>
      </c>
      <c r="I25" s="16">
        <f t="shared" si="2"/>
        <v>18000</v>
      </c>
      <c r="J25" s="16">
        <f t="shared" si="0"/>
        <v>2072960</v>
      </c>
      <c r="K25" s="14">
        <f t="shared" si="1"/>
        <v>2054960</v>
      </c>
      <c r="L25" s="3" cm="1">
        <f t="array" ref="L25">fn단가(A25,G25)</f>
        <v>176</v>
      </c>
      <c r="N25" s="17"/>
    </row>
    <row r="26" spans="1:20">
      <c r="A26" s="14" t="s">
        <v>110</v>
      </c>
      <c r="B26" s="3" t="s">
        <v>31</v>
      </c>
      <c r="C26" s="19" t="str" cm="1">
        <f t="array" ref="C26">IFERROR(_xlfn.IFS(VLOOKUP(B26,$P$3:$Q$10,2,0)="정회원","○",VLOOKUP(B26,$P$3:$Q$10,2,0)="준회원","△"),"")</f>
        <v>△</v>
      </c>
      <c r="D26" s="2" t="s">
        <v>61</v>
      </c>
      <c r="E26" s="2" t="s">
        <v>62</v>
      </c>
      <c r="F26" s="16">
        <v>41000</v>
      </c>
      <c r="G26" s="16">
        <v>28160</v>
      </c>
      <c r="H26" s="16">
        <v>21</v>
      </c>
      <c r="I26" s="16">
        <f t="shared" si="2"/>
        <v>41000</v>
      </c>
      <c r="J26" s="16">
        <f t="shared" si="0"/>
        <v>591360</v>
      </c>
      <c r="K26" s="14">
        <f t="shared" si="1"/>
        <v>550360</v>
      </c>
      <c r="L26" s="3" cm="1">
        <f t="array" ref="L26">fn단가(A26,G26)</f>
        <v>176</v>
      </c>
      <c r="N26" s="17"/>
    </row>
    <row r="27" spans="1:20">
      <c r="A27" s="14" t="s">
        <v>111</v>
      </c>
      <c r="B27" s="3" t="s">
        <v>32</v>
      </c>
      <c r="C27" s="19" t="str" cm="1">
        <f t="array" ref="C27">IFERROR(_xlfn.IFS(VLOOKUP(B27,$P$3:$Q$10,2,0)="정회원","○",VLOOKUP(B27,$P$3:$Q$10,2,0)="준회원","△"),"")</f>
        <v>△</v>
      </c>
      <c r="D27" s="2" t="s">
        <v>64</v>
      </c>
      <c r="E27" s="2" t="s">
        <v>59</v>
      </c>
      <c r="F27" s="16">
        <v>8000</v>
      </c>
      <c r="G27" s="16">
        <v>4480</v>
      </c>
      <c r="H27" s="16">
        <v>34</v>
      </c>
      <c r="I27" s="16">
        <f t="shared" si="2"/>
        <v>8000</v>
      </c>
      <c r="J27" s="16">
        <f t="shared" si="0"/>
        <v>152320</v>
      </c>
      <c r="K27" s="14">
        <f t="shared" si="1"/>
        <v>144320</v>
      </c>
      <c r="L27" s="3" cm="1">
        <f t="array" ref="L27">fn단가(A27,G27)</f>
        <v>224</v>
      </c>
      <c r="N27" s="17"/>
    </row>
    <row r="28" spans="1:20">
      <c r="A28" s="14" t="s">
        <v>112</v>
      </c>
      <c r="B28" s="3" t="s">
        <v>33</v>
      </c>
      <c r="C28" s="19" t="str" cm="1">
        <f t="array" ref="C28">IFERROR(_xlfn.IFS(VLOOKUP(B28,$P$3:$Q$10,2,0)="정회원","○",VLOOKUP(B28,$P$3:$Q$10,2,0)="준회원","△"),"")</f>
        <v/>
      </c>
      <c r="D28" s="2" t="s">
        <v>66</v>
      </c>
      <c r="E28" s="2" t="s">
        <v>62</v>
      </c>
      <c r="F28" s="16">
        <v>0</v>
      </c>
      <c r="G28" s="16">
        <v>7040</v>
      </c>
      <c r="H28" s="16">
        <v>56</v>
      </c>
      <c r="I28" s="16">
        <f t="shared" si="2"/>
        <v>0</v>
      </c>
      <c r="J28" s="16">
        <f t="shared" si="0"/>
        <v>394240</v>
      </c>
      <c r="K28" s="14">
        <f t="shared" si="1"/>
        <v>394240</v>
      </c>
      <c r="L28" s="3" cm="1">
        <f t="array" ref="L28">fn단가(A28,G28)</f>
        <v>144</v>
      </c>
      <c r="N28" s="17"/>
    </row>
    <row r="29" spans="1:20">
      <c r="K29" s="17"/>
    </row>
  </sheetData>
  <phoneticPr fontId="2" type="noConversion"/>
  <pageMargins left="0.75" right="0.75" top="1" bottom="1" header="0.5" footer="0.5"/>
  <pageSetup paperSize="9" orientation="portrait" horizontalDpi="4294967293" verticalDpi="4294967293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B1:G80"/>
  <sheetViews>
    <sheetView workbookViewId="0"/>
  </sheetViews>
  <sheetFormatPr defaultColWidth="8.77734375" defaultRowHeight="16.5"/>
  <cols>
    <col min="1" max="1" width="8.77734375" style="1"/>
    <col min="2" max="2" width="24.33203125" style="1" bestFit="1" customWidth="1"/>
    <col min="3" max="3" width="10.6640625" style="1" bestFit="1" customWidth="1"/>
    <col min="4" max="4" width="12.6640625" style="1" bestFit="1" customWidth="1"/>
    <col min="5" max="5" width="14.109375" style="1" bestFit="1" customWidth="1"/>
    <col min="6" max="6" width="10.6640625" style="1" bestFit="1" customWidth="1"/>
    <col min="7" max="7" width="12.6640625" style="1" bestFit="1" customWidth="1"/>
    <col min="8" max="16384" width="8.77734375" style="1"/>
  </cols>
  <sheetData>
    <row r="1" spans="2:7">
      <c r="B1" s="20" t="s">
        <v>115</v>
      </c>
      <c r="C1" t="s">
        <v>117</v>
      </c>
    </row>
    <row r="3" spans="2:7">
      <c r="B3" s="20" t="s">
        <v>223</v>
      </c>
      <c r="C3" t="s">
        <v>119</v>
      </c>
      <c r="D3" t="s">
        <v>120</v>
      </c>
      <c r="E3" t="s">
        <v>121</v>
      </c>
      <c r="F3"/>
      <c r="G3"/>
    </row>
    <row r="4" spans="2:7">
      <c r="B4" t="s">
        <v>122</v>
      </c>
      <c r="C4" s="21">
        <v>30900</v>
      </c>
      <c r="D4" s="21">
        <v>142</v>
      </c>
      <c r="E4" s="21">
        <v>217.6056338028169</v>
      </c>
      <c r="F4"/>
      <c r="G4"/>
    </row>
    <row r="5" spans="2:7">
      <c r="B5" t="s">
        <v>123</v>
      </c>
      <c r="C5" s="21">
        <v>23430</v>
      </c>
      <c r="D5" s="21">
        <v>162</v>
      </c>
      <c r="E5" s="21">
        <v>144.62962962962962</v>
      </c>
      <c r="F5"/>
      <c r="G5"/>
    </row>
    <row r="6" spans="2:7">
      <c r="B6" t="s">
        <v>124</v>
      </c>
      <c r="C6" s="21">
        <v>60990</v>
      </c>
      <c r="D6" s="21">
        <v>374</v>
      </c>
      <c r="E6" s="21">
        <v>163.07486631016042</v>
      </c>
      <c r="F6"/>
      <c r="G6"/>
    </row>
    <row r="7" spans="2:7">
      <c r="B7" t="s">
        <v>125</v>
      </c>
      <c r="C7" s="21">
        <v>30500</v>
      </c>
      <c r="D7" s="21">
        <v>144</v>
      </c>
      <c r="E7" s="21">
        <v>211.80555555555554</v>
      </c>
      <c r="F7"/>
      <c r="G7"/>
    </row>
    <row r="8" spans="2:7">
      <c r="B8" t="s">
        <v>126</v>
      </c>
      <c r="C8" s="21">
        <v>17390</v>
      </c>
      <c r="D8" s="21">
        <v>138</v>
      </c>
      <c r="E8" s="21">
        <v>126.01449275362319</v>
      </c>
      <c r="F8"/>
      <c r="G8"/>
    </row>
    <row r="9" spans="2:7">
      <c r="B9" t="s">
        <v>127</v>
      </c>
      <c r="C9" s="21">
        <v>63700</v>
      </c>
      <c r="D9" s="21">
        <v>415</v>
      </c>
      <c r="E9" s="21">
        <v>153.49397590361446</v>
      </c>
      <c r="F9"/>
      <c r="G9"/>
    </row>
    <row r="10" spans="2:7">
      <c r="B10" t="s">
        <v>128</v>
      </c>
      <c r="C10" s="21">
        <v>64110</v>
      </c>
      <c r="D10" s="21">
        <v>402</v>
      </c>
      <c r="E10" s="21">
        <v>159.47761194029852</v>
      </c>
      <c r="F10"/>
      <c r="G10"/>
    </row>
    <row r="11" spans="2:7">
      <c r="B11" t="s">
        <v>118</v>
      </c>
      <c r="C11" s="21">
        <v>291020</v>
      </c>
      <c r="D11" s="21">
        <v>1777</v>
      </c>
      <c r="E11" s="21">
        <v>163.77039954980305</v>
      </c>
      <c r="F11"/>
      <c r="G11"/>
    </row>
    <row r="12" spans="2:7">
      <c r="B12"/>
      <c r="C12"/>
      <c r="D12"/>
      <c r="E12"/>
      <c r="F12"/>
      <c r="G12"/>
    </row>
    <row r="13" spans="2:7">
      <c r="B13"/>
      <c r="C13"/>
      <c r="D13"/>
      <c r="E13"/>
      <c r="F13"/>
      <c r="G13"/>
    </row>
    <row r="14" spans="2:7">
      <c r="B14"/>
      <c r="C14"/>
      <c r="D14"/>
      <c r="E14"/>
      <c r="F14"/>
      <c r="G14"/>
    </row>
    <row r="15" spans="2:7">
      <c r="B15"/>
      <c r="C15"/>
      <c r="D15"/>
      <c r="E15"/>
      <c r="F15"/>
      <c r="G15"/>
    </row>
    <row r="16" spans="2:7">
      <c r="B16"/>
      <c r="C16"/>
      <c r="D16"/>
      <c r="E16"/>
      <c r="F16"/>
      <c r="G16"/>
    </row>
    <row r="17" spans="2:7">
      <c r="B17"/>
      <c r="C17"/>
      <c r="D17"/>
      <c r="E17"/>
      <c r="F17"/>
      <c r="G17"/>
    </row>
    <row r="18" spans="2:7">
      <c r="B18"/>
      <c r="C18"/>
      <c r="D18"/>
      <c r="E18"/>
      <c r="F18"/>
      <c r="G18"/>
    </row>
    <row r="19" spans="2:7">
      <c r="B19"/>
      <c r="C19"/>
      <c r="D19"/>
      <c r="E19"/>
      <c r="F19"/>
      <c r="G19"/>
    </row>
    <row r="20" spans="2:7">
      <c r="B20"/>
      <c r="C20"/>
      <c r="D20"/>
      <c r="E20"/>
      <c r="F20"/>
      <c r="G20"/>
    </row>
    <row r="21" spans="2:7">
      <c r="B21"/>
      <c r="C21"/>
      <c r="D21"/>
      <c r="E21"/>
      <c r="F21"/>
      <c r="G21"/>
    </row>
    <row r="22" spans="2:7">
      <c r="B22"/>
      <c r="C22"/>
      <c r="D22"/>
      <c r="E22"/>
      <c r="F22"/>
      <c r="G22"/>
    </row>
    <row r="23" spans="2:7">
      <c r="B23"/>
    </row>
    <row r="24" spans="2:7">
      <c r="B24"/>
    </row>
    <row r="25" spans="2:7">
      <c r="B25"/>
    </row>
    <row r="26" spans="2:7">
      <c r="B26"/>
    </row>
    <row r="27" spans="2:7">
      <c r="B27"/>
    </row>
    <row r="28" spans="2:7">
      <c r="B28"/>
    </row>
    <row r="29" spans="2:7">
      <c r="B29"/>
    </row>
    <row r="30" spans="2:7">
      <c r="B30"/>
    </row>
    <row r="31" spans="2:7">
      <c r="B31"/>
    </row>
    <row r="32" spans="2:7">
      <c r="B32"/>
    </row>
    <row r="33" spans="2:2">
      <c r="B33"/>
    </row>
    <row r="34" spans="2:2">
      <c r="B34"/>
    </row>
    <row r="35" spans="2:2">
      <c r="B35"/>
    </row>
    <row r="36" spans="2:2">
      <c r="B36"/>
    </row>
    <row r="37" spans="2:2">
      <c r="B37"/>
    </row>
    <row r="38" spans="2:2">
      <c r="B38"/>
    </row>
    <row r="39" spans="2:2">
      <c r="B39"/>
    </row>
    <row r="40" spans="2:2">
      <c r="B40"/>
    </row>
    <row r="41" spans="2:2">
      <c r="B41"/>
    </row>
    <row r="42" spans="2:2">
      <c r="B42"/>
    </row>
    <row r="43" spans="2:2">
      <c r="B43"/>
    </row>
    <row r="44" spans="2:2">
      <c r="B44"/>
    </row>
    <row r="45" spans="2:2">
      <c r="B45"/>
    </row>
    <row r="46" spans="2:2">
      <c r="B46"/>
    </row>
    <row r="47" spans="2:2">
      <c r="B47"/>
    </row>
    <row r="48" spans="2:2">
      <c r="B48"/>
    </row>
    <row r="49" spans="2:2">
      <c r="B49"/>
    </row>
    <row r="50" spans="2:2">
      <c r="B50"/>
    </row>
    <row r="51" spans="2:2">
      <c r="B51"/>
    </row>
    <row r="52" spans="2:2">
      <c r="B52"/>
    </row>
    <row r="53" spans="2:2">
      <c r="B53"/>
    </row>
    <row r="54" spans="2:2">
      <c r="B54"/>
    </row>
    <row r="55" spans="2:2">
      <c r="B55"/>
    </row>
    <row r="56" spans="2:2">
      <c r="B56"/>
    </row>
    <row r="57" spans="2:2">
      <c r="B57"/>
    </row>
    <row r="58" spans="2:2">
      <c r="B58"/>
    </row>
    <row r="59" spans="2:2">
      <c r="B59"/>
    </row>
    <row r="60" spans="2:2">
      <c r="B60"/>
    </row>
    <row r="61" spans="2:2">
      <c r="B61"/>
    </row>
    <row r="62" spans="2:2">
      <c r="B62"/>
    </row>
    <row r="63" spans="2:2">
      <c r="B63"/>
    </row>
    <row r="64" spans="2:2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  <row r="71" spans="2:2">
      <c r="B71"/>
    </row>
    <row r="72" spans="2:2">
      <c r="B72"/>
    </row>
    <row r="73" spans="2:2">
      <c r="B73"/>
    </row>
    <row r="74" spans="2:2">
      <c r="B74"/>
    </row>
    <row r="75" spans="2:2">
      <c r="B75"/>
    </row>
    <row r="76" spans="2:2">
      <c r="B76"/>
    </row>
    <row r="77" spans="2:2">
      <c r="B77"/>
    </row>
    <row r="78" spans="2:2">
      <c r="B78"/>
    </row>
    <row r="79" spans="2:2">
      <c r="B79"/>
    </row>
    <row r="80" spans="2:2">
      <c r="B80"/>
    </row>
  </sheetData>
  <phoneticPr fontId="2" type="noConversion"/>
  <pageMargins left="0.75" right="0.75" top="1" bottom="1" header="0.5" footer="0.5"/>
  <pageSetup paperSize="9" orientation="portrait" horizontalDpi="4294967293" verticalDpi="4294967293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 filterMode="1"/>
  <dimension ref="A2:E33"/>
  <sheetViews>
    <sheetView workbookViewId="0">
      <selection activeCell="F25" sqref="F25"/>
    </sheetView>
  </sheetViews>
  <sheetFormatPr defaultColWidth="8.77734375" defaultRowHeight="16.5"/>
  <cols>
    <col min="1" max="16384" width="8.77734375" style="1"/>
  </cols>
  <sheetData>
    <row r="2" spans="1:5">
      <c r="A2" s="1" t="s">
        <v>47</v>
      </c>
    </row>
    <row r="3" spans="1:5">
      <c r="A3" s="2" t="s">
        <v>0</v>
      </c>
      <c r="B3" s="2" t="s">
        <v>1</v>
      </c>
      <c r="C3" s="2" t="s">
        <v>2</v>
      </c>
      <c r="D3" s="2" t="s">
        <v>153</v>
      </c>
      <c r="E3" s="2" t="s">
        <v>129</v>
      </c>
    </row>
    <row r="4" spans="1:5" hidden="1">
      <c r="A4" s="2">
        <v>1</v>
      </c>
      <c r="B4" s="2" t="s">
        <v>10</v>
      </c>
      <c r="C4" s="2" t="s">
        <v>154</v>
      </c>
      <c r="D4" s="2" t="s">
        <v>184</v>
      </c>
      <c r="E4" s="2" t="s">
        <v>185</v>
      </c>
    </row>
    <row r="5" spans="1:5" hidden="1">
      <c r="A5" s="2">
        <v>2</v>
      </c>
      <c r="B5" s="2" t="s">
        <v>13</v>
      </c>
      <c r="C5" s="2" t="s">
        <v>155</v>
      </c>
      <c r="D5" s="2" t="s">
        <v>186</v>
      </c>
      <c r="E5" s="2" t="s">
        <v>187</v>
      </c>
    </row>
    <row r="6" spans="1:5">
      <c r="A6" s="2">
        <v>3</v>
      </c>
      <c r="B6" s="2" t="s">
        <v>15</v>
      </c>
      <c r="C6" s="2" t="s">
        <v>156</v>
      </c>
      <c r="D6" s="2" t="s">
        <v>188</v>
      </c>
      <c r="E6" s="2" t="s">
        <v>189</v>
      </c>
    </row>
    <row r="7" spans="1:5">
      <c r="A7" s="2">
        <v>4</v>
      </c>
      <c r="B7" s="2" t="s">
        <v>17</v>
      </c>
      <c r="C7" s="2" t="s">
        <v>157</v>
      </c>
      <c r="D7" s="2" t="s">
        <v>188</v>
      </c>
      <c r="E7" s="2" t="s">
        <v>190</v>
      </c>
    </row>
    <row r="8" spans="1:5" hidden="1">
      <c r="A8" s="2">
        <v>5</v>
      </c>
      <c r="B8" s="2" t="s">
        <v>20</v>
      </c>
      <c r="C8" s="2" t="s">
        <v>158</v>
      </c>
      <c r="D8" s="2" t="s">
        <v>191</v>
      </c>
      <c r="E8" s="2" t="s">
        <v>192</v>
      </c>
    </row>
    <row r="9" spans="1:5" hidden="1">
      <c r="A9" s="2">
        <v>6</v>
      </c>
      <c r="B9" s="2" t="s">
        <v>10</v>
      </c>
      <c r="C9" s="2" t="s">
        <v>159</v>
      </c>
      <c r="D9" s="2" t="s">
        <v>193</v>
      </c>
      <c r="E9" s="2" t="s">
        <v>194</v>
      </c>
    </row>
    <row r="10" spans="1:5">
      <c r="A10" s="2">
        <v>7</v>
      </c>
      <c r="B10" s="2" t="s">
        <v>13</v>
      </c>
      <c r="C10" s="2" t="s">
        <v>160</v>
      </c>
      <c r="D10" s="2" t="s">
        <v>188</v>
      </c>
      <c r="E10" s="2" t="s">
        <v>195</v>
      </c>
    </row>
    <row r="11" spans="1:5" hidden="1">
      <c r="A11" s="2">
        <v>8</v>
      </c>
      <c r="B11" s="2" t="s">
        <v>15</v>
      </c>
      <c r="C11" s="2" t="s">
        <v>161</v>
      </c>
      <c r="D11" s="2" t="s">
        <v>196</v>
      </c>
      <c r="E11" s="2" t="s">
        <v>197</v>
      </c>
    </row>
    <row r="12" spans="1:5" hidden="1">
      <c r="A12" s="2">
        <v>9</v>
      </c>
      <c r="B12" s="2" t="s">
        <v>15</v>
      </c>
      <c r="C12" s="2" t="s">
        <v>162</v>
      </c>
      <c r="D12" s="2" t="s">
        <v>191</v>
      </c>
      <c r="E12" s="2" t="s">
        <v>198</v>
      </c>
    </row>
    <row r="13" spans="1:5" hidden="1">
      <c r="A13" s="2">
        <v>10</v>
      </c>
      <c r="B13" s="2" t="s">
        <v>17</v>
      </c>
      <c r="C13" s="2" t="s">
        <v>163</v>
      </c>
      <c r="D13" s="2" t="s">
        <v>191</v>
      </c>
      <c r="E13" s="2" t="s">
        <v>199</v>
      </c>
    </row>
    <row r="14" spans="1:5" hidden="1">
      <c r="A14" s="2">
        <v>11</v>
      </c>
      <c r="B14" s="2" t="s">
        <v>20</v>
      </c>
      <c r="C14" s="2" t="s">
        <v>164</v>
      </c>
      <c r="D14" s="2" t="s">
        <v>200</v>
      </c>
      <c r="E14" s="2" t="s">
        <v>201</v>
      </c>
    </row>
    <row r="15" spans="1:5" hidden="1">
      <c r="A15" s="2">
        <v>12</v>
      </c>
      <c r="B15" s="2" t="s">
        <v>10</v>
      </c>
      <c r="C15" s="2" t="s">
        <v>165</v>
      </c>
      <c r="D15" s="2" t="s">
        <v>202</v>
      </c>
      <c r="E15" s="2" t="s">
        <v>203</v>
      </c>
    </row>
    <row r="16" spans="1:5">
      <c r="A16" s="2">
        <v>13</v>
      </c>
      <c r="B16" s="2" t="s">
        <v>17</v>
      </c>
      <c r="C16" s="2" t="s">
        <v>166</v>
      </c>
      <c r="D16" s="2" t="s">
        <v>188</v>
      </c>
      <c r="E16" s="2" t="s">
        <v>204</v>
      </c>
    </row>
    <row r="17" spans="1:5" hidden="1">
      <c r="A17" s="2">
        <v>14</v>
      </c>
      <c r="B17" s="2" t="s">
        <v>20</v>
      </c>
      <c r="C17" s="2" t="s">
        <v>167</v>
      </c>
      <c r="D17" s="2" t="s">
        <v>205</v>
      </c>
      <c r="E17" s="2" t="s">
        <v>206</v>
      </c>
    </row>
    <row r="18" spans="1:5" hidden="1">
      <c r="A18" s="2">
        <v>15</v>
      </c>
      <c r="B18" s="2" t="s">
        <v>10</v>
      </c>
      <c r="C18" s="2" t="s">
        <v>168</v>
      </c>
      <c r="D18" s="2" t="s">
        <v>191</v>
      </c>
      <c r="E18" s="2" t="s">
        <v>207</v>
      </c>
    </row>
    <row r="19" spans="1:5">
      <c r="A19" s="2">
        <v>16</v>
      </c>
      <c r="B19" s="2" t="s">
        <v>13</v>
      </c>
      <c r="C19" s="2" t="s">
        <v>169</v>
      </c>
      <c r="D19" s="2" t="s">
        <v>188</v>
      </c>
      <c r="E19" s="2" t="s">
        <v>208</v>
      </c>
    </row>
    <row r="20" spans="1:5" hidden="1">
      <c r="A20" s="2">
        <v>17</v>
      </c>
      <c r="B20" s="2" t="s">
        <v>15</v>
      </c>
      <c r="C20" s="2" t="s">
        <v>170</v>
      </c>
      <c r="D20" s="2" t="s">
        <v>205</v>
      </c>
      <c r="E20" s="2" t="s">
        <v>209</v>
      </c>
    </row>
    <row r="21" spans="1:5" hidden="1">
      <c r="A21" s="2">
        <v>18</v>
      </c>
      <c r="B21" s="2" t="s">
        <v>15</v>
      </c>
      <c r="C21" s="2" t="s">
        <v>171</v>
      </c>
      <c r="D21" s="2" t="s">
        <v>191</v>
      </c>
      <c r="E21" s="2" t="s">
        <v>210</v>
      </c>
    </row>
    <row r="22" spans="1:5" hidden="1">
      <c r="A22" s="2">
        <v>19</v>
      </c>
      <c r="B22" s="2" t="s">
        <v>10</v>
      </c>
      <c r="C22" s="2" t="s">
        <v>172</v>
      </c>
      <c r="D22" s="2" t="s">
        <v>184</v>
      </c>
      <c r="E22" s="2" t="s">
        <v>211</v>
      </c>
    </row>
    <row r="23" spans="1:5" hidden="1">
      <c r="A23" s="2">
        <v>20</v>
      </c>
      <c r="B23" s="2" t="s">
        <v>13</v>
      </c>
      <c r="C23" s="2" t="s">
        <v>173</v>
      </c>
      <c r="D23" s="2" t="s">
        <v>186</v>
      </c>
      <c r="E23" s="2" t="s">
        <v>212</v>
      </c>
    </row>
    <row r="24" spans="1:5">
      <c r="A24" s="2">
        <v>21</v>
      </c>
      <c r="B24" s="2" t="s">
        <v>15</v>
      </c>
      <c r="C24" s="2" t="s">
        <v>174</v>
      </c>
      <c r="D24" s="2" t="s">
        <v>188</v>
      </c>
      <c r="E24" s="2" t="s">
        <v>213</v>
      </c>
    </row>
    <row r="25" spans="1:5">
      <c r="A25" s="2">
        <v>22</v>
      </c>
      <c r="B25" s="2" t="s">
        <v>17</v>
      </c>
      <c r="C25" s="2" t="s">
        <v>175</v>
      </c>
      <c r="D25" s="2" t="s">
        <v>188</v>
      </c>
      <c r="E25" s="2" t="s">
        <v>214</v>
      </c>
    </row>
    <row r="26" spans="1:5" hidden="1">
      <c r="A26" s="2">
        <v>23</v>
      </c>
      <c r="B26" s="2" t="s">
        <v>20</v>
      </c>
      <c r="C26" s="2" t="s">
        <v>176</v>
      </c>
      <c r="D26" s="2" t="s">
        <v>191</v>
      </c>
      <c r="E26" s="2" t="s">
        <v>215</v>
      </c>
    </row>
    <row r="27" spans="1:5" hidden="1">
      <c r="A27" s="2">
        <v>24</v>
      </c>
      <c r="B27" s="2" t="s">
        <v>10</v>
      </c>
      <c r="C27" s="2" t="s">
        <v>177</v>
      </c>
      <c r="D27" s="2" t="s">
        <v>193</v>
      </c>
      <c r="E27" s="2" t="s">
        <v>216</v>
      </c>
    </row>
    <row r="28" spans="1:5">
      <c r="A28" s="2">
        <v>25</v>
      </c>
      <c r="B28" s="2" t="s">
        <v>13</v>
      </c>
      <c r="C28" s="2" t="s">
        <v>178</v>
      </c>
      <c r="D28" s="2" t="s">
        <v>188</v>
      </c>
      <c r="E28" s="2" t="s">
        <v>217</v>
      </c>
    </row>
    <row r="29" spans="1:5" hidden="1">
      <c r="A29" s="2">
        <v>26</v>
      </c>
      <c r="B29" s="2" t="s">
        <v>15</v>
      </c>
      <c r="C29" s="2" t="s">
        <v>179</v>
      </c>
      <c r="D29" s="2" t="s">
        <v>196</v>
      </c>
      <c r="E29" s="2" t="s">
        <v>218</v>
      </c>
    </row>
    <row r="30" spans="1:5" hidden="1">
      <c r="A30" s="2">
        <v>27</v>
      </c>
      <c r="B30" s="2" t="s">
        <v>10</v>
      </c>
      <c r="C30" s="2" t="s">
        <v>180</v>
      </c>
      <c r="D30" s="2" t="s">
        <v>191</v>
      </c>
      <c r="E30" s="2" t="s">
        <v>219</v>
      </c>
    </row>
    <row r="31" spans="1:5" hidden="1">
      <c r="A31" s="2">
        <v>28</v>
      </c>
      <c r="B31" s="2" t="s">
        <v>13</v>
      </c>
      <c r="C31" s="2" t="s">
        <v>181</v>
      </c>
      <c r="D31" s="2" t="s">
        <v>191</v>
      </c>
      <c r="E31" s="2" t="s">
        <v>220</v>
      </c>
    </row>
    <row r="32" spans="1:5" hidden="1">
      <c r="A32" s="2">
        <v>29</v>
      </c>
      <c r="B32" s="2" t="s">
        <v>15</v>
      </c>
      <c r="C32" s="2" t="s">
        <v>182</v>
      </c>
      <c r="D32" s="2" t="s">
        <v>200</v>
      </c>
      <c r="E32" s="2" t="s">
        <v>221</v>
      </c>
    </row>
    <row r="33" spans="1:5" hidden="1">
      <c r="A33" s="2">
        <v>30</v>
      </c>
      <c r="B33" s="2" t="s">
        <v>15</v>
      </c>
      <c r="C33" s="2" t="s">
        <v>183</v>
      </c>
      <c r="D33" s="2" t="s">
        <v>202</v>
      </c>
      <c r="E33" s="2" t="s">
        <v>222</v>
      </c>
    </row>
  </sheetData>
  <autoFilter ref="A3:E33" xr:uid="{00000000-0009-0000-0000-000004000000}">
    <filterColumn colId="3">
      <colorFilter dxfId="3"/>
    </filterColumn>
  </autoFilter>
  <dataConsolidate topLabels="1">
    <dataRefs count="3">
      <dataRef ref="B3:D7" sheet="분석작업2" r:id="rId1"/>
      <dataRef ref="G3:I8" sheet="분석작업2" r:id="rId2"/>
      <dataRef ref="B11:D18" sheet="분석작업2" r:id="rId3"/>
    </dataRefs>
  </dataConsolidate>
  <phoneticPr fontId="2" type="noConversion"/>
  <conditionalFormatting sqref="D4:D33">
    <cfRule type="containsText" dxfId="1" priority="1" operator="containsText" text="김">
      <formula>NOT(ISERROR(SEARCH("김",D4)))</formula>
    </cfRule>
  </conditionalFormatting>
  <pageMargins left="0.75" right="0.75" top="1" bottom="1" header="0.5" footer="0.5"/>
  <pageSetup paperSize="9" orientation="portrait" horizontalDpi="4294967293" verticalDpi="4294967293" r:id="rId4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B2:H10"/>
  <sheetViews>
    <sheetView topLeftCell="A16" workbookViewId="0">
      <selection activeCell="L18" sqref="L18"/>
    </sheetView>
  </sheetViews>
  <sheetFormatPr defaultColWidth="8.77734375" defaultRowHeight="16.5"/>
  <cols>
    <col min="1" max="16384" width="8.77734375" style="1"/>
  </cols>
  <sheetData>
    <row r="2" spans="2:8" ht="20.25" customHeight="1">
      <c r="B2" s="8" t="s">
        <v>69</v>
      </c>
    </row>
    <row r="4" spans="2:8" ht="21" customHeight="1">
      <c r="B4" s="2" t="s">
        <v>70</v>
      </c>
      <c r="C4" s="2" t="s">
        <v>71</v>
      </c>
      <c r="D4" s="2" t="s">
        <v>72</v>
      </c>
      <c r="E4" s="2" t="s">
        <v>73</v>
      </c>
      <c r="F4" s="2" t="s">
        <v>74</v>
      </c>
      <c r="G4" s="2" t="s">
        <v>75</v>
      </c>
      <c r="H4" s="2" t="s">
        <v>76</v>
      </c>
    </row>
    <row r="5" spans="2:8" ht="21" customHeight="1">
      <c r="B5" s="9" t="s">
        <v>77</v>
      </c>
      <c r="C5" s="10">
        <v>27.9</v>
      </c>
      <c r="D5" s="11">
        <v>24.3</v>
      </c>
      <c r="E5" s="11">
        <v>21.1</v>
      </c>
      <c r="F5" s="11">
        <v>11.1</v>
      </c>
      <c r="G5" s="11">
        <v>8.8000000000000007</v>
      </c>
      <c r="H5" s="11">
        <v>6.8</v>
      </c>
    </row>
    <row r="6" spans="2:8" ht="21" customHeight="1">
      <c r="B6" s="3" t="s">
        <v>78</v>
      </c>
      <c r="C6" s="10">
        <v>29.4</v>
      </c>
      <c r="D6" s="10">
        <v>29.6</v>
      </c>
      <c r="E6" s="10">
        <v>17.7</v>
      </c>
      <c r="F6" s="10">
        <v>10.5</v>
      </c>
      <c r="G6" s="10">
        <v>10.199999999999999</v>
      </c>
      <c r="H6" s="11">
        <v>2.6</v>
      </c>
    </row>
    <row r="7" spans="2:8" ht="21" customHeight="1">
      <c r="B7" s="3" t="s">
        <v>79</v>
      </c>
      <c r="C7" s="10">
        <v>30.7</v>
      </c>
      <c r="D7" s="10">
        <v>25.6</v>
      </c>
      <c r="E7" s="10">
        <v>9.9</v>
      </c>
      <c r="F7" s="10">
        <v>8.5</v>
      </c>
      <c r="G7" s="10">
        <v>19.899999999999999</v>
      </c>
      <c r="H7" s="11">
        <v>5.4</v>
      </c>
    </row>
    <row r="8" spans="2:8" ht="21" customHeight="1">
      <c r="B8" s="3" t="s">
        <v>80</v>
      </c>
      <c r="C8" s="10">
        <v>32.1</v>
      </c>
      <c r="D8" s="10">
        <v>26.2</v>
      </c>
      <c r="E8" s="10">
        <v>3.5</v>
      </c>
      <c r="F8" s="10">
        <v>2.1</v>
      </c>
      <c r="G8" s="10">
        <v>29.5</v>
      </c>
      <c r="H8" s="11">
        <v>6.6</v>
      </c>
    </row>
    <row r="9" spans="2:8" ht="21" customHeight="1">
      <c r="B9" s="3" t="s">
        <v>81</v>
      </c>
      <c r="C9" s="10">
        <v>19.899999999999999</v>
      </c>
      <c r="D9" s="10">
        <v>16.100000000000001</v>
      </c>
      <c r="E9" s="10">
        <v>2.1</v>
      </c>
      <c r="F9" s="10">
        <v>20.2</v>
      </c>
      <c r="G9" s="10">
        <v>36.200000000000003</v>
      </c>
      <c r="H9" s="11">
        <v>5.5</v>
      </c>
    </row>
    <row r="10" spans="2:8" ht="21" customHeight="1">
      <c r="B10" s="9" t="s">
        <v>82</v>
      </c>
      <c r="C10" s="10">
        <f t="shared" ref="C10:H10" si="0">SUM(C5:C9)</f>
        <v>140</v>
      </c>
      <c r="D10" s="10">
        <f t="shared" si="0"/>
        <v>121.80000000000001</v>
      </c>
      <c r="E10" s="10">
        <f t="shared" si="0"/>
        <v>54.3</v>
      </c>
      <c r="F10" s="10">
        <f t="shared" si="0"/>
        <v>52.400000000000006</v>
      </c>
      <c r="G10" s="10">
        <f t="shared" si="0"/>
        <v>104.60000000000001</v>
      </c>
      <c r="H10" s="10">
        <f t="shared" si="0"/>
        <v>26.9</v>
      </c>
    </row>
  </sheetData>
  <phoneticPr fontId="2" type="noConversion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33"/>
  <sheetViews>
    <sheetView workbookViewId="0">
      <selection activeCell="H31" sqref="H31"/>
    </sheetView>
  </sheetViews>
  <sheetFormatPr defaultRowHeight="13.5"/>
  <cols>
    <col min="3" max="4" width="8.77734375"/>
    <col min="5" max="5" width="9.88671875" customWidth="1"/>
    <col min="6" max="6" width="11.5546875" bestFit="1" customWidth="1"/>
    <col min="7" max="7" width="12.109375" customWidth="1"/>
  </cols>
  <sheetData>
    <row r="1" spans="1:7" ht="16.5">
      <c r="A1" s="1"/>
      <c r="B1" s="1"/>
      <c r="C1" s="1"/>
      <c r="D1" s="1"/>
      <c r="E1" s="1"/>
      <c r="F1" s="1"/>
      <c r="G1" s="1"/>
    </row>
    <row r="2" spans="1:7" ht="16.5">
      <c r="A2" s="1" t="s">
        <v>47</v>
      </c>
      <c r="B2" s="1"/>
      <c r="C2" s="1"/>
      <c r="D2" s="1"/>
      <c r="E2" s="1"/>
      <c r="F2" s="1"/>
      <c r="G2" s="1"/>
    </row>
    <row r="3" spans="1:7" ht="16.5">
      <c r="A3" s="2" t="s">
        <v>0</v>
      </c>
      <c r="B3" s="3" t="s">
        <v>1</v>
      </c>
      <c r="C3" s="3" t="s">
        <v>2</v>
      </c>
      <c r="D3" s="3" t="s">
        <v>3</v>
      </c>
      <c r="E3" s="2" t="s">
        <v>6</v>
      </c>
      <c r="F3" s="2" t="s">
        <v>7</v>
      </c>
      <c r="G3" s="2" t="s">
        <v>8</v>
      </c>
    </row>
    <row r="4" spans="1:7" ht="16.5">
      <c r="A4" s="2">
        <v>1</v>
      </c>
      <c r="B4" s="3" t="s">
        <v>10</v>
      </c>
      <c r="C4" s="3" t="s">
        <v>11</v>
      </c>
      <c r="D4" s="4" t="s">
        <v>12</v>
      </c>
      <c r="E4" s="26">
        <v>4</v>
      </c>
      <c r="F4" s="7">
        <v>1200</v>
      </c>
      <c r="G4" s="7">
        <f>E4*F4</f>
        <v>4800</v>
      </c>
    </row>
    <row r="5" spans="1:7" ht="16.5">
      <c r="A5" s="2">
        <v>2</v>
      </c>
      <c r="B5" s="3" t="s">
        <v>13</v>
      </c>
      <c r="C5" s="3" t="s">
        <v>14</v>
      </c>
      <c r="D5" s="4" t="s">
        <v>12</v>
      </c>
      <c r="E5" s="26">
        <v>5</v>
      </c>
      <c r="F5" s="7">
        <v>1200</v>
      </c>
      <c r="G5" s="7">
        <f t="shared" ref="G5:G33" si="0">E5*F5</f>
        <v>6000</v>
      </c>
    </row>
    <row r="6" spans="1:7" ht="16.5">
      <c r="A6" s="2">
        <v>3</v>
      </c>
      <c r="B6" s="3" t="s">
        <v>15</v>
      </c>
      <c r="C6" s="3" t="s">
        <v>16</v>
      </c>
      <c r="D6" s="4" t="s">
        <v>12</v>
      </c>
      <c r="E6" s="26">
        <v>7</v>
      </c>
      <c r="F6" s="7">
        <v>1500</v>
      </c>
      <c r="G6" s="7">
        <f t="shared" si="0"/>
        <v>10500</v>
      </c>
    </row>
    <row r="7" spans="1:7" ht="16.5">
      <c r="A7" s="2">
        <v>4</v>
      </c>
      <c r="B7" s="3" t="s">
        <v>17</v>
      </c>
      <c r="C7" s="3" t="s">
        <v>18</v>
      </c>
      <c r="D7" s="4" t="s">
        <v>19</v>
      </c>
      <c r="E7" s="26">
        <v>4</v>
      </c>
      <c r="F7" s="7">
        <v>1200</v>
      </c>
      <c r="G7" s="7">
        <f t="shared" si="0"/>
        <v>4800</v>
      </c>
    </row>
    <row r="8" spans="1:7" ht="16.5">
      <c r="A8" s="2">
        <v>5</v>
      </c>
      <c r="B8" s="3" t="s">
        <v>20</v>
      </c>
      <c r="C8" s="3" t="s">
        <v>21</v>
      </c>
      <c r="D8" s="4" t="s">
        <v>12</v>
      </c>
      <c r="E8" s="26">
        <v>8</v>
      </c>
      <c r="F8" s="7">
        <v>1500</v>
      </c>
      <c r="G8" s="7">
        <f t="shared" si="0"/>
        <v>12000</v>
      </c>
    </row>
    <row r="9" spans="1:7" ht="16.5">
      <c r="A9" s="2">
        <v>6</v>
      </c>
      <c r="B9" s="3" t="s">
        <v>10</v>
      </c>
      <c r="C9" s="3" t="s">
        <v>22</v>
      </c>
      <c r="D9" s="4" t="s">
        <v>19</v>
      </c>
      <c r="E9" s="26">
        <v>9</v>
      </c>
      <c r="F9" s="7">
        <v>2000</v>
      </c>
      <c r="G9" s="7">
        <f t="shared" si="0"/>
        <v>18000</v>
      </c>
    </row>
    <row r="10" spans="1:7" ht="16.5">
      <c r="A10" s="2">
        <v>7</v>
      </c>
      <c r="B10" s="3" t="s">
        <v>13</v>
      </c>
      <c r="C10" s="3" t="s">
        <v>23</v>
      </c>
      <c r="D10" s="4" t="s">
        <v>19</v>
      </c>
      <c r="E10" s="26">
        <v>7</v>
      </c>
      <c r="F10" s="7">
        <v>1500</v>
      </c>
      <c r="G10" s="7">
        <f t="shared" si="0"/>
        <v>10500</v>
      </c>
    </row>
    <row r="11" spans="1:7" ht="16.5">
      <c r="A11" s="2">
        <v>8</v>
      </c>
      <c r="B11" s="3" t="s">
        <v>15</v>
      </c>
      <c r="C11" s="3" t="s">
        <v>24</v>
      </c>
      <c r="D11" s="4" t="s">
        <v>19</v>
      </c>
      <c r="E11" s="26">
        <v>8</v>
      </c>
      <c r="F11" s="7">
        <v>1500</v>
      </c>
      <c r="G11" s="7">
        <f t="shared" si="0"/>
        <v>12000</v>
      </c>
    </row>
    <row r="12" spans="1:7" ht="16.5">
      <c r="A12" s="2">
        <v>9</v>
      </c>
      <c r="B12" s="3" t="s">
        <v>15</v>
      </c>
      <c r="C12" s="3" t="s">
        <v>25</v>
      </c>
      <c r="D12" s="4" t="s">
        <v>12</v>
      </c>
      <c r="E12" s="26">
        <v>6</v>
      </c>
      <c r="F12" s="7">
        <v>1500</v>
      </c>
      <c r="G12" s="7">
        <f t="shared" si="0"/>
        <v>9000</v>
      </c>
    </row>
    <row r="13" spans="1:7" ht="16.5">
      <c r="A13" s="2">
        <v>10</v>
      </c>
      <c r="B13" s="3" t="s">
        <v>17</v>
      </c>
      <c r="C13" s="3" t="s">
        <v>26</v>
      </c>
      <c r="D13" s="4" t="s">
        <v>19</v>
      </c>
      <c r="E13" s="26">
        <v>4</v>
      </c>
      <c r="F13" s="7">
        <v>1200</v>
      </c>
      <c r="G13" s="7">
        <f t="shared" si="0"/>
        <v>4800</v>
      </c>
    </row>
    <row r="14" spans="1:7" ht="16.5">
      <c r="A14" s="2">
        <v>11</v>
      </c>
      <c r="B14" s="3" t="s">
        <v>20</v>
      </c>
      <c r="C14" s="3" t="s">
        <v>27</v>
      </c>
      <c r="D14" s="4" t="s">
        <v>12</v>
      </c>
      <c r="E14" s="26">
        <v>9</v>
      </c>
      <c r="F14" s="7">
        <v>2000</v>
      </c>
      <c r="G14" s="7">
        <f t="shared" si="0"/>
        <v>18000</v>
      </c>
    </row>
    <row r="15" spans="1:7" ht="16.5">
      <c r="A15" s="2">
        <v>12</v>
      </c>
      <c r="B15" s="3" t="s">
        <v>10</v>
      </c>
      <c r="C15" s="3" t="s">
        <v>28</v>
      </c>
      <c r="D15" s="4" t="s">
        <v>19</v>
      </c>
      <c r="E15" s="26">
        <v>7</v>
      </c>
      <c r="F15" s="7">
        <v>1500</v>
      </c>
      <c r="G15" s="7">
        <f t="shared" si="0"/>
        <v>10500</v>
      </c>
    </row>
    <row r="16" spans="1:7" ht="16.5">
      <c r="A16" s="2">
        <v>13</v>
      </c>
      <c r="B16" s="3" t="s">
        <v>17</v>
      </c>
      <c r="C16" s="3" t="s">
        <v>29</v>
      </c>
      <c r="D16" s="4" t="s">
        <v>19</v>
      </c>
      <c r="E16" s="26">
        <v>8</v>
      </c>
      <c r="F16" s="7">
        <v>1500</v>
      </c>
      <c r="G16" s="7">
        <f t="shared" si="0"/>
        <v>12000</v>
      </c>
    </row>
    <row r="17" spans="1:7" ht="16.5">
      <c r="A17" s="2">
        <v>14</v>
      </c>
      <c r="B17" s="3" t="s">
        <v>20</v>
      </c>
      <c r="C17" s="3" t="s">
        <v>30</v>
      </c>
      <c r="D17" s="4" t="s">
        <v>12</v>
      </c>
      <c r="E17" s="26">
        <v>2</v>
      </c>
      <c r="F17" s="7">
        <v>0</v>
      </c>
      <c r="G17" s="7">
        <f t="shared" si="0"/>
        <v>0</v>
      </c>
    </row>
    <row r="18" spans="1:7" ht="16.5">
      <c r="A18" s="2">
        <v>15</v>
      </c>
      <c r="B18" s="3" t="s">
        <v>10</v>
      </c>
      <c r="C18" s="3" t="s">
        <v>31</v>
      </c>
      <c r="D18" s="4" t="s">
        <v>19</v>
      </c>
      <c r="E18" s="26">
        <v>4</v>
      </c>
      <c r="F18" s="7">
        <v>1200</v>
      </c>
      <c r="G18" s="7">
        <f t="shared" si="0"/>
        <v>4800</v>
      </c>
    </row>
    <row r="19" spans="1:7" ht="16.5">
      <c r="A19" s="2">
        <v>16</v>
      </c>
      <c r="B19" s="3" t="s">
        <v>13</v>
      </c>
      <c r="C19" s="3" t="s">
        <v>32</v>
      </c>
      <c r="D19" s="4" t="s">
        <v>19</v>
      </c>
      <c r="E19" s="26">
        <v>5</v>
      </c>
      <c r="F19" s="7">
        <v>1200</v>
      </c>
      <c r="G19" s="7">
        <f t="shared" si="0"/>
        <v>6000</v>
      </c>
    </row>
    <row r="20" spans="1:7" ht="16.5">
      <c r="A20" s="2">
        <v>17</v>
      </c>
      <c r="B20" s="3" t="s">
        <v>15</v>
      </c>
      <c r="C20" s="3" t="s">
        <v>33</v>
      </c>
      <c r="D20" s="4" t="s">
        <v>12</v>
      </c>
      <c r="E20" s="26">
        <v>8</v>
      </c>
      <c r="F20" s="7">
        <v>1500</v>
      </c>
      <c r="G20" s="7">
        <f t="shared" si="0"/>
        <v>12000</v>
      </c>
    </row>
    <row r="21" spans="1:7" ht="16.5">
      <c r="A21" s="2">
        <v>18</v>
      </c>
      <c r="B21" s="3" t="s">
        <v>15</v>
      </c>
      <c r="C21" s="3" t="s">
        <v>34</v>
      </c>
      <c r="D21" s="4" t="s">
        <v>19</v>
      </c>
      <c r="E21" s="26">
        <v>7</v>
      </c>
      <c r="F21" s="7">
        <v>1500</v>
      </c>
      <c r="G21" s="7">
        <f t="shared" si="0"/>
        <v>10500</v>
      </c>
    </row>
    <row r="22" spans="1:7" ht="16.5">
      <c r="A22" s="2">
        <v>19</v>
      </c>
      <c r="B22" s="3" t="s">
        <v>10</v>
      </c>
      <c r="C22" s="3" t="s">
        <v>35</v>
      </c>
      <c r="D22" s="4" t="s">
        <v>12</v>
      </c>
      <c r="E22" s="26">
        <v>9</v>
      </c>
      <c r="F22" s="7">
        <v>2000</v>
      </c>
      <c r="G22" s="7">
        <f t="shared" si="0"/>
        <v>18000</v>
      </c>
    </row>
    <row r="23" spans="1:7" ht="16.5">
      <c r="A23" s="2">
        <v>20</v>
      </c>
      <c r="B23" s="3" t="s">
        <v>13</v>
      </c>
      <c r="C23" s="3" t="s">
        <v>36</v>
      </c>
      <c r="D23" s="4" t="s">
        <v>19</v>
      </c>
      <c r="E23" s="26">
        <v>6</v>
      </c>
      <c r="F23" s="7">
        <v>1500</v>
      </c>
      <c r="G23" s="7">
        <f t="shared" si="0"/>
        <v>9000</v>
      </c>
    </row>
    <row r="24" spans="1:7" ht="16.5">
      <c r="A24" s="2">
        <v>21</v>
      </c>
      <c r="B24" s="3" t="s">
        <v>15</v>
      </c>
      <c r="C24" s="3" t="s">
        <v>37</v>
      </c>
      <c r="D24" s="4" t="s">
        <v>12</v>
      </c>
      <c r="E24" s="26">
        <v>4</v>
      </c>
      <c r="F24" s="7">
        <v>1200</v>
      </c>
      <c r="G24" s="7">
        <f t="shared" si="0"/>
        <v>4800</v>
      </c>
    </row>
    <row r="25" spans="1:7" ht="16.5">
      <c r="A25" s="2">
        <v>22</v>
      </c>
      <c r="B25" s="3" t="s">
        <v>17</v>
      </c>
      <c r="C25" s="3" t="s">
        <v>38</v>
      </c>
      <c r="D25" s="4" t="s">
        <v>12</v>
      </c>
      <c r="E25" s="26">
        <v>2</v>
      </c>
      <c r="F25" s="7">
        <v>0</v>
      </c>
      <c r="G25" s="7">
        <f t="shared" si="0"/>
        <v>0</v>
      </c>
    </row>
    <row r="26" spans="1:7" ht="16.5">
      <c r="A26" s="2">
        <v>23</v>
      </c>
      <c r="B26" s="3" t="s">
        <v>20</v>
      </c>
      <c r="C26" s="3" t="s">
        <v>39</v>
      </c>
      <c r="D26" s="4" t="s">
        <v>12</v>
      </c>
      <c r="E26" s="26">
        <v>1</v>
      </c>
      <c r="F26" s="7">
        <v>0</v>
      </c>
      <c r="G26" s="7">
        <f t="shared" si="0"/>
        <v>0</v>
      </c>
    </row>
    <row r="27" spans="1:7" ht="16.5">
      <c r="A27" s="2">
        <v>24</v>
      </c>
      <c r="B27" s="3" t="s">
        <v>10</v>
      </c>
      <c r="C27" s="3" t="s">
        <v>40</v>
      </c>
      <c r="D27" s="4" t="s">
        <v>19</v>
      </c>
      <c r="E27" s="26">
        <v>3</v>
      </c>
      <c r="F27" s="7">
        <v>0</v>
      </c>
      <c r="G27" s="7">
        <f t="shared" si="0"/>
        <v>0</v>
      </c>
    </row>
    <row r="28" spans="1:7" ht="16.5">
      <c r="A28" s="2">
        <v>25</v>
      </c>
      <c r="B28" s="3" t="s">
        <v>13</v>
      </c>
      <c r="C28" s="3" t="s">
        <v>41</v>
      </c>
      <c r="D28" s="4" t="s">
        <v>12</v>
      </c>
      <c r="E28" s="26">
        <v>6</v>
      </c>
      <c r="F28" s="7">
        <v>1500</v>
      </c>
      <c r="G28" s="7">
        <f t="shared" si="0"/>
        <v>9000</v>
      </c>
    </row>
    <row r="29" spans="1:7" ht="16.5">
      <c r="A29" s="2">
        <v>26</v>
      </c>
      <c r="B29" s="3" t="s">
        <v>15</v>
      </c>
      <c r="C29" s="3" t="s">
        <v>42</v>
      </c>
      <c r="D29" s="4" t="s">
        <v>12</v>
      </c>
      <c r="E29" s="26">
        <v>7</v>
      </c>
      <c r="F29" s="7">
        <v>1500</v>
      </c>
      <c r="G29" s="7">
        <f t="shared" si="0"/>
        <v>10500</v>
      </c>
    </row>
    <row r="30" spans="1:7" ht="16.5">
      <c r="A30" s="2">
        <v>27</v>
      </c>
      <c r="B30" s="3" t="s">
        <v>10</v>
      </c>
      <c r="C30" s="3" t="s">
        <v>43</v>
      </c>
      <c r="D30" s="4" t="s">
        <v>19</v>
      </c>
      <c r="E30" s="26">
        <v>9</v>
      </c>
      <c r="F30" s="7">
        <v>2000</v>
      </c>
      <c r="G30" s="7">
        <f t="shared" si="0"/>
        <v>18000</v>
      </c>
    </row>
    <row r="31" spans="1:7" ht="16.5">
      <c r="A31" s="2">
        <v>28</v>
      </c>
      <c r="B31" s="3" t="s">
        <v>13</v>
      </c>
      <c r="C31" s="3" t="s">
        <v>44</v>
      </c>
      <c r="D31" s="4" t="s">
        <v>12</v>
      </c>
      <c r="E31" s="26">
        <v>8</v>
      </c>
      <c r="F31" s="7">
        <v>1500</v>
      </c>
      <c r="G31" s="7">
        <f t="shared" si="0"/>
        <v>12000</v>
      </c>
    </row>
    <row r="32" spans="1:7" ht="16.5">
      <c r="A32" s="2">
        <v>29</v>
      </c>
      <c r="B32" s="3" t="s">
        <v>15</v>
      </c>
      <c r="C32" s="3" t="s">
        <v>45</v>
      </c>
      <c r="D32" s="4" t="s">
        <v>12</v>
      </c>
      <c r="E32" s="26">
        <v>5</v>
      </c>
      <c r="F32" s="7">
        <v>1200</v>
      </c>
      <c r="G32" s="7">
        <f t="shared" si="0"/>
        <v>6000</v>
      </c>
    </row>
    <row r="33" spans="1:7" ht="16.5">
      <c r="A33" s="2">
        <v>30</v>
      </c>
      <c r="B33" s="3" t="s">
        <v>15</v>
      </c>
      <c r="C33" s="3" t="s">
        <v>46</v>
      </c>
      <c r="D33" s="4" t="s">
        <v>12</v>
      </c>
      <c r="E33" s="26">
        <v>0</v>
      </c>
      <c r="F33" s="7">
        <v>0</v>
      </c>
      <c r="G33" s="7">
        <f t="shared" si="0"/>
        <v>0</v>
      </c>
    </row>
  </sheetData>
  <phoneticPr fontId="2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서식적용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서식해제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H13"/>
  <sheetViews>
    <sheetView workbookViewId="0">
      <selection activeCell="J8" sqref="J8"/>
    </sheetView>
  </sheetViews>
  <sheetFormatPr defaultRowHeight="16.5"/>
  <cols>
    <col min="1" max="1" width="9.88671875" style="22" bestFit="1" customWidth="1"/>
    <col min="2" max="2" width="8.77734375" style="22"/>
    <col min="3" max="3" width="15.77734375" style="22" customWidth="1"/>
    <col min="4" max="4" width="11.33203125" style="22" customWidth="1"/>
    <col min="5" max="256" width="8.77734375" style="22"/>
    <col min="257" max="257" width="9.88671875" style="22" bestFit="1" customWidth="1"/>
    <col min="258" max="258" width="8.77734375" style="22"/>
    <col min="259" max="259" width="15.77734375" style="22" customWidth="1"/>
    <col min="260" max="260" width="11.33203125" style="22" customWidth="1"/>
    <col min="261" max="512" width="8.77734375" style="22"/>
    <col min="513" max="513" width="9.88671875" style="22" bestFit="1" customWidth="1"/>
    <col min="514" max="514" width="8.77734375" style="22"/>
    <col min="515" max="515" width="15.77734375" style="22" customWidth="1"/>
    <col min="516" max="516" width="11.33203125" style="22" customWidth="1"/>
    <col min="517" max="768" width="8.77734375" style="22"/>
    <col min="769" max="769" width="9.88671875" style="22" bestFit="1" customWidth="1"/>
    <col min="770" max="770" width="8.77734375" style="22"/>
    <col min="771" max="771" width="15.77734375" style="22" customWidth="1"/>
    <col min="772" max="772" width="11.33203125" style="22" customWidth="1"/>
    <col min="773" max="1024" width="8.77734375" style="22"/>
    <col min="1025" max="1025" width="9.88671875" style="22" bestFit="1" customWidth="1"/>
    <col min="1026" max="1026" width="8.77734375" style="22"/>
    <col min="1027" max="1027" width="15.77734375" style="22" customWidth="1"/>
    <col min="1028" max="1028" width="11.33203125" style="22" customWidth="1"/>
    <col min="1029" max="1280" width="8.77734375" style="22"/>
    <col min="1281" max="1281" width="9.88671875" style="22" bestFit="1" customWidth="1"/>
    <col min="1282" max="1282" width="8.77734375" style="22"/>
    <col min="1283" max="1283" width="15.77734375" style="22" customWidth="1"/>
    <col min="1284" max="1284" width="11.33203125" style="22" customWidth="1"/>
    <col min="1285" max="1536" width="8.77734375" style="22"/>
    <col min="1537" max="1537" width="9.88671875" style="22" bestFit="1" customWidth="1"/>
    <col min="1538" max="1538" width="8.77734375" style="22"/>
    <col min="1539" max="1539" width="15.77734375" style="22" customWidth="1"/>
    <col min="1540" max="1540" width="11.33203125" style="22" customWidth="1"/>
    <col min="1541" max="1792" width="8.77734375" style="22"/>
    <col min="1793" max="1793" width="9.88671875" style="22" bestFit="1" customWidth="1"/>
    <col min="1794" max="1794" width="8.77734375" style="22"/>
    <col min="1795" max="1795" width="15.77734375" style="22" customWidth="1"/>
    <col min="1796" max="1796" width="11.33203125" style="22" customWidth="1"/>
    <col min="1797" max="2048" width="8.77734375" style="22"/>
    <col min="2049" max="2049" width="9.88671875" style="22" bestFit="1" customWidth="1"/>
    <col min="2050" max="2050" width="8.77734375" style="22"/>
    <col min="2051" max="2051" width="15.77734375" style="22" customWidth="1"/>
    <col min="2052" max="2052" width="11.33203125" style="22" customWidth="1"/>
    <col min="2053" max="2304" width="8.77734375" style="22"/>
    <col min="2305" max="2305" width="9.88671875" style="22" bestFit="1" customWidth="1"/>
    <col min="2306" max="2306" width="8.77734375" style="22"/>
    <col min="2307" max="2307" width="15.77734375" style="22" customWidth="1"/>
    <col min="2308" max="2308" width="11.33203125" style="22" customWidth="1"/>
    <col min="2309" max="2560" width="8.77734375" style="22"/>
    <col min="2561" max="2561" width="9.88671875" style="22" bestFit="1" customWidth="1"/>
    <col min="2562" max="2562" width="8.77734375" style="22"/>
    <col min="2563" max="2563" width="15.77734375" style="22" customWidth="1"/>
    <col min="2564" max="2564" width="11.33203125" style="22" customWidth="1"/>
    <col min="2565" max="2816" width="8.77734375" style="22"/>
    <col min="2817" max="2817" width="9.88671875" style="22" bestFit="1" customWidth="1"/>
    <col min="2818" max="2818" width="8.77734375" style="22"/>
    <col min="2819" max="2819" width="15.77734375" style="22" customWidth="1"/>
    <col min="2820" max="2820" width="11.33203125" style="22" customWidth="1"/>
    <col min="2821" max="3072" width="8.77734375" style="22"/>
    <col min="3073" max="3073" width="9.88671875" style="22" bestFit="1" customWidth="1"/>
    <col min="3074" max="3074" width="8.77734375" style="22"/>
    <col min="3075" max="3075" width="15.77734375" style="22" customWidth="1"/>
    <col min="3076" max="3076" width="11.33203125" style="22" customWidth="1"/>
    <col min="3077" max="3328" width="8.77734375" style="22"/>
    <col min="3329" max="3329" width="9.88671875" style="22" bestFit="1" customWidth="1"/>
    <col min="3330" max="3330" width="8.77734375" style="22"/>
    <col min="3331" max="3331" width="15.77734375" style="22" customWidth="1"/>
    <col min="3332" max="3332" width="11.33203125" style="22" customWidth="1"/>
    <col min="3333" max="3584" width="8.77734375" style="22"/>
    <col min="3585" max="3585" width="9.88671875" style="22" bestFit="1" customWidth="1"/>
    <col min="3586" max="3586" width="8.77734375" style="22"/>
    <col min="3587" max="3587" width="15.77734375" style="22" customWidth="1"/>
    <col min="3588" max="3588" width="11.33203125" style="22" customWidth="1"/>
    <col min="3589" max="3840" width="8.77734375" style="22"/>
    <col min="3841" max="3841" width="9.88671875" style="22" bestFit="1" customWidth="1"/>
    <col min="3842" max="3842" width="8.77734375" style="22"/>
    <col min="3843" max="3843" width="15.77734375" style="22" customWidth="1"/>
    <col min="3844" max="3844" width="11.33203125" style="22" customWidth="1"/>
    <col min="3845" max="4096" width="8.77734375" style="22"/>
    <col min="4097" max="4097" width="9.88671875" style="22" bestFit="1" customWidth="1"/>
    <col min="4098" max="4098" width="8.77734375" style="22"/>
    <col min="4099" max="4099" width="15.77734375" style="22" customWidth="1"/>
    <col min="4100" max="4100" width="11.33203125" style="22" customWidth="1"/>
    <col min="4101" max="4352" width="8.77734375" style="22"/>
    <col min="4353" max="4353" width="9.88671875" style="22" bestFit="1" customWidth="1"/>
    <col min="4354" max="4354" width="8.77734375" style="22"/>
    <col min="4355" max="4355" width="15.77734375" style="22" customWidth="1"/>
    <col min="4356" max="4356" width="11.33203125" style="22" customWidth="1"/>
    <col min="4357" max="4608" width="8.77734375" style="22"/>
    <col min="4609" max="4609" width="9.88671875" style="22" bestFit="1" customWidth="1"/>
    <col min="4610" max="4610" width="8.77734375" style="22"/>
    <col min="4611" max="4611" width="15.77734375" style="22" customWidth="1"/>
    <col min="4612" max="4612" width="11.33203125" style="22" customWidth="1"/>
    <col min="4613" max="4864" width="8.77734375" style="22"/>
    <col min="4865" max="4865" width="9.88671875" style="22" bestFit="1" customWidth="1"/>
    <col min="4866" max="4866" width="8.77734375" style="22"/>
    <col min="4867" max="4867" width="15.77734375" style="22" customWidth="1"/>
    <col min="4868" max="4868" width="11.33203125" style="22" customWidth="1"/>
    <col min="4869" max="5120" width="8.77734375" style="22"/>
    <col min="5121" max="5121" width="9.88671875" style="22" bestFit="1" customWidth="1"/>
    <col min="5122" max="5122" width="8.77734375" style="22"/>
    <col min="5123" max="5123" width="15.77734375" style="22" customWidth="1"/>
    <col min="5124" max="5124" width="11.33203125" style="22" customWidth="1"/>
    <col min="5125" max="5376" width="8.77734375" style="22"/>
    <col min="5377" max="5377" width="9.88671875" style="22" bestFit="1" customWidth="1"/>
    <col min="5378" max="5378" width="8.77734375" style="22"/>
    <col min="5379" max="5379" width="15.77734375" style="22" customWidth="1"/>
    <col min="5380" max="5380" width="11.33203125" style="22" customWidth="1"/>
    <col min="5381" max="5632" width="8.77734375" style="22"/>
    <col min="5633" max="5633" width="9.88671875" style="22" bestFit="1" customWidth="1"/>
    <col min="5634" max="5634" width="8.77734375" style="22"/>
    <col min="5635" max="5635" width="15.77734375" style="22" customWidth="1"/>
    <col min="5636" max="5636" width="11.33203125" style="22" customWidth="1"/>
    <col min="5637" max="5888" width="8.77734375" style="22"/>
    <col min="5889" max="5889" width="9.88671875" style="22" bestFit="1" customWidth="1"/>
    <col min="5890" max="5890" width="8.77734375" style="22"/>
    <col min="5891" max="5891" width="15.77734375" style="22" customWidth="1"/>
    <col min="5892" max="5892" width="11.33203125" style="22" customWidth="1"/>
    <col min="5893" max="6144" width="8.77734375" style="22"/>
    <col min="6145" max="6145" width="9.88671875" style="22" bestFit="1" customWidth="1"/>
    <col min="6146" max="6146" width="8.77734375" style="22"/>
    <col min="6147" max="6147" width="15.77734375" style="22" customWidth="1"/>
    <col min="6148" max="6148" width="11.33203125" style="22" customWidth="1"/>
    <col min="6149" max="6400" width="8.77734375" style="22"/>
    <col min="6401" max="6401" width="9.88671875" style="22" bestFit="1" customWidth="1"/>
    <col min="6402" max="6402" width="8.77734375" style="22"/>
    <col min="6403" max="6403" width="15.77734375" style="22" customWidth="1"/>
    <col min="6404" max="6404" width="11.33203125" style="22" customWidth="1"/>
    <col min="6405" max="6656" width="8.77734375" style="22"/>
    <col min="6657" max="6657" width="9.88671875" style="22" bestFit="1" customWidth="1"/>
    <col min="6658" max="6658" width="8.77734375" style="22"/>
    <col min="6659" max="6659" width="15.77734375" style="22" customWidth="1"/>
    <col min="6660" max="6660" width="11.33203125" style="22" customWidth="1"/>
    <col min="6661" max="6912" width="8.77734375" style="22"/>
    <col min="6913" max="6913" width="9.88671875" style="22" bestFit="1" customWidth="1"/>
    <col min="6914" max="6914" width="8.77734375" style="22"/>
    <col min="6915" max="6915" width="15.77734375" style="22" customWidth="1"/>
    <col min="6916" max="6916" width="11.33203125" style="22" customWidth="1"/>
    <col min="6917" max="7168" width="8.77734375" style="22"/>
    <col min="7169" max="7169" width="9.88671875" style="22" bestFit="1" customWidth="1"/>
    <col min="7170" max="7170" width="8.77734375" style="22"/>
    <col min="7171" max="7171" width="15.77734375" style="22" customWidth="1"/>
    <col min="7172" max="7172" width="11.33203125" style="22" customWidth="1"/>
    <col min="7173" max="7424" width="8.77734375" style="22"/>
    <col min="7425" max="7425" width="9.88671875" style="22" bestFit="1" customWidth="1"/>
    <col min="7426" max="7426" width="8.77734375" style="22"/>
    <col min="7427" max="7427" width="15.77734375" style="22" customWidth="1"/>
    <col min="7428" max="7428" width="11.33203125" style="22" customWidth="1"/>
    <col min="7429" max="7680" width="8.77734375" style="22"/>
    <col min="7681" max="7681" width="9.88671875" style="22" bestFit="1" customWidth="1"/>
    <col min="7682" max="7682" width="8.77734375" style="22"/>
    <col min="7683" max="7683" width="15.77734375" style="22" customWidth="1"/>
    <col min="7684" max="7684" width="11.33203125" style="22" customWidth="1"/>
    <col min="7685" max="7936" width="8.77734375" style="22"/>
    <col min="7937" max="7937" width="9.88671875" style="22" bestFit="1" customWidth="1"/>
    <col min="7938" max="7938" width="8.77734375" style="22"/>
    <col min="7939" max="7939" width="15.77734375" style="22" customWidth="1"/>
    <col min="7940" max="7940" width="11.33203125" style="22" customWidth="1"/>
    <col min="7941" max="8192" width="8.77734375" style="22"/>
    <col min="8193" max="8193" width="9.88671875" style="22" bestFit="1" customWidth="1"/>
    <col min="8194" max="8194" width="8.77734375" style="22"/>
    <col min="8195" max="8195" width="15.77734375" style="22" customWidth="1"/>
    <col min="8196" max="8196" width="11.33203125" style="22" customWidth="1"/>
    <col min="8197" max="8448" width="8.77734375" style="22"/>
    <col min="8449" max="8449" width="9.88671875" style="22" bestFit="1" customWidth="1"/>
    <col min="8450" max="8450" width="8.77734375" style="22"/>
    <col min="8451" max="8451" width="15.77734375" style="22" customWidth="1"/>
    <col min="8452" max="8452" width="11.33203125" style="22" customWidth="1"/>
    <col min="8453" max="8704" width="8.77734375" style="22"/>
    <col min="8705" max="8705" width="9.88671875" style="22" bestFit="1" customWidth="1"/>
    <col min="8706" max="8706" width="8.77734375" style="22"/>
    <col min="8707" max="8707" width="15.77734375" style="22" customWidth="1"/>
    <col min="8708" max="8708" width="11.33203125" style="22" customWidth="1"/>
    <col min="8709" max="8960" width="8.77734375" style="22"/>
    <col min="8961" max="8961" width="9.88671875" style="22" bestFit="1" customWidth="1"/>
    <col min="8962" max="8962" width="8.77734375" style="22"/>
    <col min="8963" max="8963" width="15.77734375" style="22" customWidth="1"/>
    <col min="8964" max="8964" width="11.33203125" style="22" customWidth="1"/>
    <col min="8965" max="9216" width="8.77734375" style="22"/>
    <col min="9217" max="9217" width="9.88671875" style="22" bestFit="1" customWidth="1"/>
    <col min="9218" max="9218" width="8.77734375" style="22"/>
    <col min="9219" max="9219" width="15.77734375" style="22" customWidth="1"/>
    <col min="9220" max="9220" width="11.33203125" style="22" customWidth="1"/>
    <col min="9221" max="9472" width="8.77734375" style="22"/>
    <col min="9473" max="9473" width="9.88671875" style="22" bestFit="1" customWidth="1"/>
    <col min="9474" max="9474" width="8.77734375" style="22"/>
    <col min="9475" max="9475" width="15.77734375" style="22" customWidth="1"/>
    <col min="9476" max="9476" width="11.33203125" style="22" customWidth="1"/>
    <col min="9477" max="9728" width="8.77734375" style="22"/>
    <col min="9729" max="9729" width="9.88671875" style="22" bestFit="1" customWidth="1"/>
    <col min="9730" max="9730" width="8.77734375" style="22"/>
    <col min="9731" max="9731" width="15.77734375" style="22" customWidth="1"/>
    <col min="9732" max="9732" width="11.33203125" style="22" customWidth="1"/>
    <col min="9733" max="9984" width="8.77734375" style="22"/>
    <col min="9985" max="9985" width="9.88671875" style="22" bestFit="1" customWidth="1"/>
    <col min="9986" max="9986" width="8.77734375" style="22"/>
    <col min="9987" max="9987" width="15.77734375" style="22" customWidth="1"/>
    <col min="9988" max="9988" width="11.33203125" style="22" customWidth="1"/>
    <col min="9989" max="10240" width="8.77734375" style="22"/>
    <col min="10241" max="10241" width="9.88671875" style="22" bestFit="1" customWidth="1"/>
    <col min="10242" max="10242" width="8.77734375" style="22"/>
    <col min="10243" max="10243" width="15.77734375" style="22" customWidth="1"/>
    <col min="10244" max="10244" width="11.33203125" style="22" customWidth="1"/>
    <col min="10245" max="10496" width="8.77734375" style="22"/>
    <col min="10497" max="10497" width="9.88671875" style="22" bestFit="1" customWidth="1"/>
    <col min="10498" max="10498" width="8.77734375" style="22"/>
    <col min="10499" max="10499" width="15.77734375" style="22" customWidth="1"/>
    <col min="10500" max="10500" width="11.33203125" style="22" customWidth="1"/>
    <col min="10501" max="10752" width="8.77734375" style="22"/>
    <col min="10753" max="10753" width="9.88671875" style="22" bestFit="1" customWidth="1"/>
    <col min="10754" max="10754" width="8.77734375" style="22"/>
    <col min="10755" max="10755" width="15.77734375" style="22" customWidth="1"/>
    <col min="10756" max="10756" width="11.33203125" style="22" customWidth="1"/>
    <col min="10757" max="11008" width="8.77734375" style="22"/>
    <col min="11009" max="11009" width="9.88671875" style="22" bestFit="1" customWidth="1"/>
    <col min="11010" max="11010" width="8.77734375" style="22"/>
    <col min="11011" max="11011" width="15.77734375" style="22" customWidth="1"/>
    <col min="11012" max="11012" width="11.33203125" style="22" customWidth="1"/>
    <col min="11013" max="11264" width="8.77734375" style="22"/>
    <col min="11265" max="11265" width="9.88671875" style="22" bestFit="1" customWidth="1"/>
    <col min="11266" max="11266" width="8.77734375" style="22"/>
    <col min="11267" max="11267" width="15.77734375" style="22" customWidth="1"/>
    <col min="11268" max="11268" width="11.33203125" style="22" customWidth="1"/>
    <col min="11269" max="11520" width="8.77734375" style="22"/>
    <col min="11521" max="11521" width="9.88671875" style="22" bestFit="1" customWidth="1"/>
    <col min="11522" max="11522" width="8.77734375" style="22"/>
    <col min="11523" max="11523" width="15.77734375" style="22" customWidth="1"/>
    <col min="11524" max="11524" width="11.33203125" style="22" customWidth="1"/>
    <col min="11525" max="11776" width="8.77734375" style="22"/>
    <col min="11777" max="11777" width="9.88671875" style="22" bestFit="1" customWidth="1"/>
    <col min="11778" max="11778" width="8.77734375" style="22"/>
    <col min="11779" max="11779" width="15.77734375" style="22" customWidth="1"/>
    <col min="11780" max="11780" width="11.33203125" style="22" customWidth="1"/>
    <col min="11781" max="12032" width="8.77734375" style="22"/>
    <col min="12033" max="12033" width="9.88671875" style="22" bestFit="1" customWidth="1"/>
    <col min="12034" max="12034" width="8.77734375" style="22"/>
    <col min="12035" max="12035" width="15.77734375" style="22" customWidth="1"/>
    <col min="12036" max="12036" width="11.33203125" style="22" customWidth="1"/>
    <col min="12037" max="12288" width="8.77734375" style="22"/>
    <col min="12289" max="12289" width="9.88671875" style="22" bestFit="1" customWidth="1"/>
    <col min="12290" max="12290" width="8.77734375" style="22"/>
    <col min="12291" max="12291" width="15.77734375" style="22" customWidth="1"/>
    <col min="12292" max="12292" width="11.33203125" style="22" customWidth="1"/>
    <col min="12293" max="12544" width="8.77734375" style="22"/>
    <col min="12545" max="12545" width="9.88671875" style="22" bestFit="1" customWidth="1"/>
    <col min="12546" max="12546" width="8.77734375" style="22"/>
    <col min="12547" max="12547" width="15.77734375" style="22" customWidth="1"/>
    <col min="12548" max="12548" width="11.33203125" style="22" customWidth="1"/>
    <col min="12549" max="12800" width="8.77734375" style="22"/>
    <col min="12801" max="12801" width="9.88671875" style="22" bestFit="1" customWidth="1"/>
    <col min="12802" max="12802" width="8.77734375" style="22"/>
    <col min="12803" max="12803" width="15.77734375" style="22" customWidth="1"/>
    <col min="12804" max="12804" width="11.33203125" style="22" customWidth="1"/>
    <col min="12805" max="13056" width="8.77734375" style="22"/>
    <col min="13057" max="13057" width="9.88671875" style="22" bestFit="1" customWidth="1"/>
    <col min="13058" max="13058" width="8.77734375" style="22"/>
    <col min="13059" max="13059" width="15.77734375" style="22" customWidth="1"/>
    <col min="13060" max="13060" width="11.33203125" style="22" customWidth="1"/>
    <col min="13061" max="13312" width="8.77734375" style="22"/>
    <col min="13313" max="13313" width="9.88671875" style="22" bestFit="1" customWidth="1"/>
    <col min="13314" max="13314" width="8.77734375" style="22"/>
    <col min="13315" max="13315" width="15.77734375" style="22" customWidth="1"/>
    <col min="13316" max="13316" width="11.33203125" style="22" customWidth="1"/>
    <col min="13317" max="13568" width="8.77734375" style="22"/>
    <col min="13569" max="13569" width="9.88671875" style="22" bestFit="1" customWidth="1"/>
    <col min="13570" max="13570" width="8.77734375" style="22"/>
    <col min="13571" max="13571" width="15.77734375" style="22" customWidth="1"/>
    <col min="13572" max="13572" width="11.33203125" style="22" customWidth="1"/>
    <col min="13573" max="13824" width="8.77734375" style="22"/>
    <col min="13825" max="13825" width="9.88671875" style="22" bestFit="1" customWidth="1"/>
    <col min="13826" max="13826" width="8.77734375" style="22"/>
    <col min="13827" max="13827" width="15.77734375" style="22" customWidth="1"/>
    <col min="13828" max="13828" width="11.33203125" style="22" customWidth="1"/>
    <col min="13829" max="14080" width="8.77734375" style="22"/>
    <col min="14081" max="14081" width="9.88671875" style="22" bestFit="1" customWidth="1"/>
    <col min="14082" max="14082" width="8.77734375" style="22"/>
    <col min="14083" max="14083" width="15.77734375" style="22" customWidth="1"/>
    <col min="14084" max="14084" width="11.33203125" style="22" customWidth="1"/>
    <col min="14085" max="14336" width="8.77734375" style="22"/>
    <col min="14337" max="14337" width="9.88671875" style="22" bestFit="1" customWidth="1"/>
    <col min="14338" max="14338" width="8.77734375" style="22"/>
    <col min="14339" max="14339" width="15.77734375" style="22" customWidth="1"/>
    <col min="14340" max="14340" width="11.33203125" style="22" customWidth="1"/>
    <col min="14341" max="14592" width="8.77734375" style="22"/>
    <col min="14593" max="14593" width="9.88671875" style="22" bestFit="1" customWidth="1"/>
    <col min="14594" max="14594" width="8.77734375" style="22"/>
    <col min="14595" max="14595" width="15.77734375" style="22" customWidth="1"/>
    <col min="14596" max="14596" width="11.33203125" style="22" customWidth="1"/>
    <col min="14597" max="14848" width="8.77734375" style="22"/>
    <col min="14849" max="14849" width="9.88671875" style="22" bestFit="1" customWidth="1"/>
    <col min="14850" max="14850" width="8.77734375" style="22"/>
    <col min="14851" max="14851" width="15.77734375" style="22" customWidth="1"/>
    <col min="14852" max="14852" width="11.33203125" style="22" customWidth="1"/>
    <col min="14853" max="15104" width="8.77734375" style="22"/>
    <col min="15105" max="15105" width="9.88671875" style="22" bestFit="1" customWidth="1"/>
    <col min="15106" max="15106" width="8.77734375" style="22"/>
    <col min="15107" max="15107" width="15.77734375" style="22" customWidth="1"/>
    <col min="15108" max="15108" width="11.33203125" style="22" customWidth="1"/>
    <col min="15109" max="15360" width="8.77734375" style="22"/>
    <col min="15361" max="15361" width="9.88671875" style="22" bestFit="1" customWidth="1"/>
    <col min="15362" max="15362" width="8.77734375" style="22"/>
    <col min="15363" max="15363" width="15.77734375" style="22" customWidth="1"/>
    <col min="15364" max="15364" width="11.33203125" style="22" customWidth="1"/>
    <col min="15365" max="15616" width="8.77734375" style="22"/>
    <col min="15617" max="15617" width="9.88671875" style="22" bestFit="1" customWidth="1"/>
    <col min="15618" max="15618" width="8.77734375" style="22"/>
    <col min="15619" max="15619" width="15.77734375" style="22" customWidth="1"/>
    <col min="15620" max="15620" width="11.33203125" style="22" customWidth="1"/>
    <col min="15621" max="15872" width="8.77734375" style="22"/>
    <col min="15873" max="15873" width="9.88671875" style="22" bestFit="1" customWidth="1"/>
    <col min="15874" max="15874" width="8.77734375" style="22"/>
    <col min="15875" max="15875" width="15.77734375" style="22" customWidth="1"/>
    <col min="15876" max="15876" width="11.33203125" style="22" customWidth="1"/>
    <col min="15877" max="16128" width="8.77734375" style="22"/>
    <col min="16129" max="16129" width="9.88671875" style="22" bestFit="1" customWidth="1"/>
    <col min="16130" max="16130" width="8.77734375" style="22"/>
    <col min="16131" max="16131" width="15.77734375" style="22" customWidth="1"/>
    <col min="16132" max="16132" width="11.33203125" style="22" customWidth="1"/>
    <col min="16133" max="16384" width="8.77734375" style="22"/>
  </cols>
  <sheetData>
    <row r="1" spans="1:8">
      <c r="H1" s="22" t="s">
        <v>83</v>
      </c>
    </row>
    <row r="2" spans="1:8">
      <c r="A2" s="27" t="s">
        <v>129</v>
      </c>
      <c r="B2" s="27" t="s">
        <v>130</v>
      </c>
      <c r="C2" s="27"/>
      <c r="D2" s="27" t="s">
        <v>131</v>
      </c>
      <c r="E2" s="27" t="s">
        <v>132</v>
      </c>
      <c r="H2" s="22" t="s">
        <v>133</v>
      </c>
    </row>
    <row r="3" spans="1:8">
      <c r="A3" s="27"/>
      <c r="B3" s="23" t="s">
        <v>134</v>
      </c>
      <c r="C3" s="23" t="s">
        <v>135</v>
      </c>
      <c r="D3" s="27"/>
      <c r="E3" s="27"/>
      <c r="G3" s="24"/>
      <c r="H3" s="22" t="s">
        <v>84</v>
      </c>
    </row>
    <row r="4" spans="1:8">
      <c r="A4" s="7" t="s">
        <v>136</v>
      </c>
      <c r="B4" s="25" t="s">
        <v>137</v>
      </c>
      <c r="C4" s="25" t="s">
        <v>138</v>
      </c>
      <c r="D4" s="25" t="s">
        <v>139</v>
      </c>
      <c r="E4" s="25" t="s">
        <v>140</v>
      </c>
      <c r="H4" s="22" t="s">
        <v>141</v>
      </c>
    </row>
    <row r="5" spans="1:8">
      <c r="A5" s="7"/>
      <c r="B5" s="25"/>
      <c r="C5" s="25"/>
      <c r="D5" s="25"/>
      <c r="E5" s="25"/>
    </row>
    <row r="6" spans="1:8">
      <c r="A6" s="7"/>
      <c r="B6" s="25"/>
      <c r="C6" s="25"/>
      <c r="D6" s="25"/>
      <c r="E6" s="25"/>
    </row>
    <row r="7" spans="1:8">
      <c r="A7" s="25"/>
      <c r="B7" s="25"/>
      <c r="C7" s="25"/>
      <c r="D7" s="25"/>
      <c r="E7" s="25"/>
    </row>
    <row r="8" spans="1:8">
      <c r="A8" s="25"/>
      <c r="B8" s="25"/>
      <c r="C8" s="25"/>
      <c r="D8" s="25"/>
      <c r="E8" s="25"/>
    </row>
    <row r="9" spans="1:8">
      <c r="A9" s="25"/>
      <c r="B9" s="25"/>
      <c r="C9" s="25"/>
      <c r="D9" s="25"/>
      <c r="E9" s="25"/>
    </row>
    <row r="10" spans="1:8">
      <c r="A10" s="25"/>
      <c r="B10" s="25"/>
      <c r="C10" s="25"/>
      <c r="D10" s="25"/>
      <c r="E10" s="25"/>
    </row>
    <row r="11" spans="1:8">
      <c r="A11" s="25"/>
      <c r="B11" s="25"/>
      <c r="C11" s="25"/>
      <c r="D11" s="25"/>
      <c r="E11" s="25"/>
    </row>
    <row r="12" spans="1:8">
      <c r="A12" s="25"/>
      <c r="B12" s="25"/>
      <c r="C12" s="25"/>
      <c r="D12" s="25"/>
      <c r="E12" s="25"/>
    </row>
    <row r="13" spans="1:8">
      <c r="A13" s="25"/>
      <c r="B13" s="25"/>
      <c r="C13" s="25"/>
      <c r="D13" s="25"/>
      <c r="E13" s="25"/>
    </row>
  </sheetData>
  <mergeCells count="4">
    <mergeCell ref="A2:A3"/>
    <mergeCell ref="B2:C2"/>
    <mergeCell ref="D2:D3"/>
    <mergeCell ref="E2:E3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65" r:id="rId4" name="Cmd연락처실행">
          <controlPr defaultSize="0" autoLine="0" autoPict="0" r:id="rId5">
            <anchor moveWithCells="1">
              <from>
                <xdr:col>6</xdr:col>
                <xdr:colOff>314325</xdr:colOff>
                <xdr:row>5</xdr:row>
                <xdr:rowOff>95250</xdr:rowOff>
              </from>
              <to>
                <xdr:col>8</xdr:col>
                <xdr:colOff>152400</xdr:colOff>
                <xdr:row>7</xdr:row>
                <xdr:rowOff>57150</xdr:rowOff>
              </to>
            </anchor>
          </controlPr>
        </control>
      </mc:Choice>
      <mc:Fallback>
        <control shapeId="11265" r:id="rId4" name="Cmd연락처실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김진원</cp:lastModifiedBy>
  <dcterms:created xsi:type="dcterms:W3CDTF">2020-06-30T13:07:45Z</dcterms:created>
  <dcterms:modified xsi:type="dcterms:W3CDTF">2023-11-01T06:16:49Z</dcterms:modified>
</cp:coreProperties>
</file>