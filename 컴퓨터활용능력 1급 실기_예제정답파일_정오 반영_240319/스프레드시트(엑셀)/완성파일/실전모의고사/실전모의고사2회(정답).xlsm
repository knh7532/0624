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실전모의고사\"/>
    </mc:Choice>
  </mc:AlternateContent>
  <xr:revisionPtr revIDLastSave="0" documentId="13_ncr:1_{8DE4593B-B9B2-485A-AD6A-2CAE258F09DA}" xr6:coauthVersionLast="47" xr6:coauthVersionMax="47" xr10:uidLastSave="{00000000-0000-0000-0000-000000000000}"/>
  <bookViews>
    <workbookView xWindow="1155" yWindow="165" windowWidth="23325" windowHeight="14685" activeTab="5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7" r:id="rId6"/>
    <sheet name="기타작업-2" sheetId="9" r:id="rId7"/>
    <sheet name="기타작업-3" sheetId="10" r:id="rId8"/>
  </sheets>
  <functionGroups builtInGroupCount="19"/>
  <definedNames>
    <definedName name="_xlnm._FilterDatabase" localSheetId="0" hidden="1">'기본작업-1'!$B$2:$H$27</definedName>
    <definedName name="_xlnm.Criteria" localSheetId="0">'기본작업-1'!$B$29:$B$30</definedName>
    <definedName name="_xlnm.Extract" localSheetId="0">'기본작업-1'!$B$32:$F$32</definedName>
    <definedName name="_xlnm.Print_Area" localSheetId="1">'기본작업-2'!$B$2:$H$34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 a="1"/>
  <c r="L5" i="3" s="1"/>
  <c r="M5" i="3" a="1"/>
  <c r="M5" i="3"/>
  <c r="M4" i="3" a="1"/>
  <c r="M4" i="3" s="1"/>
  <c r="L4" i="3" a="1"/>
  <c r="L4" i="3" s="1"/>
  <c r="B30" i="1"/>
  <c r="I10" i="3" a="1"/>
  <c r="I5" i="3" a="1"/>
  <c r="I13" i="3" a="1"/>
  <c r="I4" i="3" a="1"/>
  <c r="I12" i="3" a="1"/>
  <c r="I7" i="3" a="1"/>
  <c r="I15" i="3" a="1"/>
  <c r="I6" i="3" a="1"/>
  <c r="I14" i="3" a="1"/>
  <c r="I9" i="3" a="1"/>
  <c r="I8" i="3" a="1"/>
  <c r="I16" i="3" a="1"/>
  <c r="I11" i="3" a="1"/>
  <c r="I15" i="3" l="1"/>
  <c r="I13" i="3"/>
  <c r="I11" i="3"/>
  <c r="I9" i="3"/>
  <c r="I7" i="3"/>
  <c r="I5" i="3"/>
  <c r="I16" i="3"/>
  <c r="I14" i="3"/>
  <c r="I12" i="3"/>
  <c r="I10" i="3"/>
  <c r="I8" i="3"/>
  <c r="I6" i="3"/>
  <c r="I4" i="3"/>
  <c r="F5" i="7"/>
  <c r="F6" i="7"/>
  <c r="F7" i="7"/>
  <c r="F8" i="7"/>
  <c r="F4" i="7"/>
  <c r="L11" i="3" a="1"/>
  <c r="L11" i="3" s="1"/>
  <c r="M11" i="3" a="1"/>
  <c r="M11" i="3" s="1"/>
  <c r="L12" i="3" a="1"/>
  <c r="L12" i="3" s="1"/>
  <c r="M12" i="3" a="1"/>
  <c r="M12" i="3" s="1"/>
  <c r="L13" i="3" a="1"/>
  <c r="L13" i="3" s="1"/>
  <c r="M13" i="3" a="1"/>
  <c r="M13" i="3" s="1"/>
  <c r="M10" i="3" a="1"/>
  <c r="M10" i="3" s="1"/>
  <c r="L10" i="3" a="1"/>
  <c r="L10" i="3" s="1"/>
  <c r="H5" i="3" l="1"/>
  <c r="H6" i="3"/>
  <c r="H7" i="3"/>
  <c r="H8" i="3"/>
  <c r="H9" i="3"/>
  <c r="H10" i="3"/>
  <c r="H11" i="3"/>
  <c r="H12" i="3"/>
  <c r="H13" i="3"/>
  <c r="H14" i="3"/>
  <c r="H15" i="3"/>
  <c r="H16" i="3"/>
  <c r="H4" i="3"/>
  <c r="G5" i="3" l="1"/>
  <c r="G6" i="3"/>
  <c r="G7" i="3"/>
  <c r="G8" i="3"/>
  <c r="G9" i="3"/>
  <c r="G10" i="3"/>
  <c r="G11" i="3"/>
  <c r="G12" i="3"/>
  <c r="G13" i="3"/>
  <c r="G14" i="3"/>
  <c r="G15" i="3"/>
  <c r="G16" i="3"/>
  <c r="G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USERS\JWKIM\Desktop\컴활문제_김진원\판매관리.accdb;DefaultDir=C:\USERS\JWKIM\Desktop\컴활문제_김진원;DriverId=25;FIL=MS Access;MaxBufferSize=2048;PageTimeout=5;" command="SELECT 판매점.매장코드, 판매점.거래처명, 판매점.대표, 판매점.설립일자, 판매점.거래구분, 판매점.지역, 판매점.매출액_x000d__x000a_FROM `C:\USERS\JWKIM\Desktop\컴활문제_김진원\판매관리.accdb`.판매점 판매점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<sst xmlns="http://schemas.openxmlformats.org/spreadsheetml/2006/main" count="335" uniqueCount="238">
  <si>
    <t>사원코드</t>
    <phoneticPr fontId="1" type="noConversion"/>
  </si>
  <si>
    <t>이름</t>
    <phoneticPr fontId="1" type="noConversion"/>
  </si>
  <si>
    <t>입사일자</t>
    <phoneticPr fontId="1" type="noConversion"/>
  </si>
  <si>
    <t>평가1</t>
    <phoneticPr fontId="1" type="noConversion"/>
  </si>
  <si>
    <t>평가2</t>
  </si>
  <si>
    <t>평가3</t>
  </si>
  <si>
    <t>평균</t>
    <phoneticPr fontId="1" type="noConversion"/>
  </si>
  <si>
    <t>K02345</t>
    <phoneticPr fontId="1" type="noConversion"/>
  </si>
  <si>
    <t>A03234</t>
    <phoneticPr fontId="1" type="noConversion"/>
  </si>
  <si>
    <t>F01121</t>
    <phoneticPr fontId="1" type="noConversion"/>
  </si>
  <si>
    <t>K12324</t>
    <phoneticPr fontId="1" type="noConversion"/>
  </si>
  <si>
    <t>K05234</t>
    <phoneticPr fontId="1" type="noConversion"/>
  </si>
  <si>
    <t>A15231</t>
    <phoneticPr fontId="1" type="noConversion"/>
  </si>
  <si>
    <t>A01235</t>
    <phoneticPr fontId="1" type="noConversion"/>
  </si>
  <si>
    <t>F17233</t>
    <phoneticPr fontId="1" type="noConversion"/>
  </si>
  <si>
    <t>F19273</t>
    <phoneticPr fontId="1" type="noConversion"/>
  </si>
  <si>
    <t>K11032</t>
    <phoneticPr fontId="1" type="noConversion"/>
  </si>
  <si>
    <t>A13442</t>
    <phoneticPr fontId="1" type="noConversion"/>
  </si>
  <si>
    <t>K02301</t>
    <phoneticPr fontId="1" type="noConversion"/>
  </si>
  <si>
    <t>A02702</t>
    <phoneticPr fontId="1" type="noConversion"/>
  </si>
  <si>
    <t>K04231</t>
    <phoneticPr fontId="1" type="noConversion"/>
  </si>
  <si>
    <t>F17595</t>
    <phoneticPr fontId="1" type="noConversion"/>
  </si>
  <si>
    <t>F20111</t>
    <phoneticPr fontId="1" type="noConversion"/>
  </si>
  <si>
    <t>A17024</t>
    <phoneticPr fontId="1" type="noConversion"/>
  </si>
  <si>
    <t>K19022</t>
    <phoneticPr fontId="1" type="noConversion"/>
  </si>
  <si>
    <t>F21871</t>
    <phoneticPr fontId="1" type="noConversion"/>
  </si>
  <si>
    <t>A15232</t>
    <phoneticPr fontId="1" type="noConversion"/>
  </si>
  <si>
    <t>K15233</t>
    <phoneticPr fontId="1" type="noConversion"/>
  </si>
  <si>
    <t>K14085</t>
    <phoneticPr fontId="1" type="noConversion"/>
  </si>
  <si>
    <t>F22031</t>
    <phoneticPr fontId="1" type="noConversion"/>
  </si>
  <si>
    <t>A09095</t>
    <phoneticPr fontId="1" type="noConversion"/>
  </si>
  <si>
    <t>F09234</t>
    <phoneticPr fontId="1" type="noConversion"/>
  </si>
  <si>
    <t>김동준</t>
    <phoneticPr fontId="1" type="noConversion"/>
  </si>
  <si>
    <t>이진호</t>
    <phoneticPr fontId="1" type="noConversion"/>
  </si>
  <si>
    <t>박상은</t>
    <phoneticPr fontId="1" type="noConversion"/>
  </si>
  <si>
    <t>김재성</t>
    <phoneticPr fontId="1" type="noConversion"/>
  </si>
  <si>
    <t>이세진</t>
    <phoneticPr fontId="1" type="noConversion"/>
  </si>
  <si>
    <t>김주환</t>
    <phoneticPr fontId="1" type="noConversion"/>
  </si>
  <si>
    <t>이서영</t>
    <phoneticPr fontId="1" type="noConversion"/>
  </si>
  <si>
    <t>김지연</t>
    <phoneticPr fontId="1" type="noConversion"/>
  </si>
  <si>
    <t>이가람</t>
    <phoneticPr fontId="1" type="noConversion"/>
  </si>
  <si>
    <t>안유영</t>
    <phoneticPr fontId="1" type="noConversion"/>
  </si>
  <si>
    <t>우지원</t>
    <phoneticPr fontId="1" type="noConversion"/>
  </si>
  <si>
    <t>유미나</t>
    <phoneticPr fontId="1" type="noConversion"/>
  </si>
  <si>
    <t>최진우</t>
    <phoneticPr fontId="1" type="noConversion"/>
  </si>
  <si>
    <t>정오철</t>
    <phoneticPr fontId="1" type="noConversion"/>
  </si>
  <si>
    <t>김민태</t>
    <phoneticPr fontId="1" type="noConversion"/>
  </si>
  <si>
    <t>주원영</t>
    <phoneticPr fontId="1" type="noConversion"/>
  </si>
  <si>
    <t>김철</t>
    <phoneticPr fontId="1" type="noConversion"/>
  </si>
  <si>
    <t>나원준</t>
    <phoneticPr fontId="1" type="noConversion"/>
  </si>
  <si>
    <t>이세웅</t>
    <phoneticPr fontId="1" type="noConversion"/>
  </si>
  <si>
    <t>지현우</t>
    <phoneticPr fontId="1" type="noConversion"/>
  </si>
  <si>
    <t>오태석</t>
    <phoneticPr fontId="1" type="noConversion"/>
  </si>
  <si>
    <t>이시우</t>
    <phoneticPr fontId="1" type="noConversion"/>
  </si>
  <si>
    <t>김진오</t>
    <phoneticPr fontId="1" type="noConversion"/>
  </si>
  <si>
    <t>유선미</t>
    <phoneticPr fontId="1" type="noConversion"/>
  </si>
  <si>
    <t>박훈</t>
    <phoneticPr fontId="1" type="noConversion"/>
  </si>
  <si>
    <t>제조사</t>
    <phoneticPr fontId="1" type="noConversion"/>
  </si>
  <si>
    <t>등록년도</t>
    <phoneticPr fontId="1" type="noConversion"/>
  </si>
  <si>
    <t>제품코드</t>
    <phoneticPr fontId="1" type="noConversion"/>
  </si>
  <si>
    <t>세대구분</t>
    <phoneticPr fontId="1" type="noConversion"/>
  </si>
  <si>
    <t>가격</t>
    <phoneticPr fontId="1" type="noConversion"/>
  </si>
  <si>
    <t>클럭</t>
    <phoneticPr fontId="1" type="noConversion"/>
  </si>
  <si>
    <t>B5600</t>
    <phoneticPr fontId="1" type="noConversion"/>
  </si>
  <si>
    <t>A사</t>
    <phoneticPr fontId="1" type="noConversion"/>
  </si>
  <si>
    <t>코어</t>
    <phoneticPr fontId="1" type="noConversion"/>
  </si>
  <si>
    <t>I사</t>
    <phoneticPr fontId="1" type="noConversion"/>
  </si>
  <si>
    <t>R7900X</t>
    <phoneticPr fontId="1" type="noConversion"/>
  </si>
  <si>
    <t>A사</t>
    <phoneticPr fontId="1" type="noConversion"/>
  </si>
  <si>
    <t>E12600KF</t>
    <phoneticPr fontId="1" type="noConversion"/>
  </si>
  <si>
    <t>E12700K</t>
    <phoneticPr fontId="1" type="noConversion"/>
  </si>
  <si>
    <t>I사</t>
    <phoneticPr fontId="1" type="noConversion"/>
  </si>
  <si>
    <t>B5600A</t>
    <phoneticPr fontId="1" type="noConversion"/>
  </si>
  <si>
    <t>B5600F</t>
    <phoneticPr fontId="1" type="noConversion"/>
  </si>
  <si>
    <t>E12400F</t>
    <phoneticPr fontId="1" type="noConversion"/>
  </si>
  <si>
    <t>B5600X</t>
    <phoneticPr fontId="1" type="noConversion"/>
  </si>
  <si>
    <t>G7400E</t>
    <phoneticPr fontId="1" type="noConversion"/>
  </si>
  <si>
    <t>I사</t>
    <phoneticPr fontId="1" type="noConversion"/>
  </si>
  <si>
    <t>R4350G</t>
    <phoneticPr fontId="1" type="noConversion"/>
  </si>
  <si>
    <t>B5800X</t>
    <phoneticPr fontId="1" type="noConversion"/>
  </si>
  <si>
    <t>R11400F</t>
    <phoneticPr fontId="1" type="noConversion"/>
  </si>
  <si>
    <t>B5600X</t>
    <phoneticPr fontId="1" type="noConversion"/>
  </si>
  <si>
    <t>A사</t>
    <phoneticPr fontId="1" type="noConversion"/>
  </si>
  <si>
    <t>E12700F</t>
    <phoneticPr fontId="1" type="noConversion"/>
  </si>
  <si>
    <t>B5900X</t>
    <phoneticPr fontId="1" type="noConversion"/>
  </si>
  <si>
    <t>E12500</t>
    <phoneticPr fontId="1" type="noConversion"/>
  </si>
  <si>
    <t>E12400K</t>
    <phoneticPr fontId="1" type="noConversion"/>
  </si>
  <si>
    <t>S5600G</t>
    <phoneticPr fontId="1" type="noConversion"/>
  </si>
  <si>
    <t>E12900K</t>
    <phoneticPr fontId="1" type="noConversion"/>
  </si>
  <si>
    <t>B5700XA</t>
    <phoneticPr fontId="1" type="noConversion"/>
  </si>
  <si>
    <t>B5800XA</t>
    <phoneticPr fontId="1" type="noConversion"/>
  </si>
  <si>
    <t>B5600S</t>
    <phoneticPr fontId="1" type="noConversion"/>
  </si>
  <si>
    <t>E12100FT</t>
    <phoneticPr fontId="1" type="noConversion"/>
  </si>
  <si>
    <t>E12600KD</t>
    <phoneticPr fontId="1" type="noConversion"/>
  </si>
  <si>
    <t>B5950X</t>
    <phoneticPr fontId="1" type="noConversion"/>
  </si>
  <si>
    <t>E12700T</t>
    <phoneticPr fontId="1" type="noConversion"/>
  </si>
  <si>
    <t>I사</t>
    <phoneticPr fontId="1" type="noConversion"/>
  </si>
  <si>
    <t>R7600X</t>
    <phoneticPr fontId="1" type="noConversion"/>
  </si>
  <si>
    <t>S5600GA</t>
    <phoneticPr fontId="1" type="noConversion"/>
  </si>
  <si>
    <t>R7900XG</t>
    <phoneticPr fontId="1" type="noConversion"/>
  </si>
  <si>
    <t>R11400T</t>
    <phoneticPr fontId="1" type="noConversion"/>
  </si>
  <si>
    <t>C10400</t>
    <phoneticPr fontId="1" type="noConversion"/>
  </si>
  <si>
    <t>이름</t>
    <phoneticPr fontId="1" type="noConversion"/>
  </si>
  <si>
    <t>구분</t>
    <phoneticPr fontId="1" type="noConversion"/>
  </si>
  <si>
    <t>근무시간</t>
    <phoneticPr fontId="1" type="noConversion"/>
  </si>
  <si>
    <t>야간근무</t>
    <phoneticPr fontId="1" type="noConversion"/>
  </si>
  <si>
    <t>급여총액</t>
    <phoneticPr fontId="1" type="noConversion"/>
  </si>
  <si>
    <t>평일</t>
    <phoneticPr fontId="1" type="noConversion"/>
  </si>
  <si>
    <t>주말</t>
    <phoneticPr fontId="1" type="noConversion"/>
  </si>
  <si>
    <t>평일</t>
    <phoneticPr fontId="1" type="noConversion"/>
  </si>
  <si>
    <t>주말</t>
    <phoneticPr fontId="1" type="noConversion"/>
  </si>
  <si>
    <t>평일</t>
    <phoneticPr fontId="1" type="noConversion"/>
  </si>
  <si>
    <t>주말</t>
    <phoneticPr fontId="1" type="noConversion"/>
  </si>
  <si>
    <t>평일</t>
    <phoneticPr fontId="1" type="noConversion"/>
  </si>
  <si>
    <t>평일</t>
    <phoneticPr fontId="1" type="noConversion"/>
  </si>
  <si>
    <t>주말</t>
    <phoneticPr fontId="1" type="noConversion"/>
  </si>
  <si>
    <t>&lt;참조표&gt;</t>
    <phoneticPr fontId="1" type="noConversion"/>
  </si>
  <si>
    <t>시급</t>
    <phoneticPr fontId="1" type="noConversion"/>
  </si>
  <si>
    <t>야간수당</t>
    <phoneticPr fontId="1" type="noConversion"/>
  </si>
  <si>
    <t>구분</t>
    <phoneticPr fontId="1" type="noConversion"/>
  </si>
  <si>
    <t>평일</t>
    <phoneticPr fontId="1" type="noConversion"/>
  </si>
  <si>
    <t>주말</t>
    <phoneticPr fontId="1" type="noConversion"/>
  </si>
  <si>
    <t>박동진</t>
    <phoneticPr fontId="1" type="noConversion"/>
  </si>
  <si>
    <t>문지우</t>
    <phoneticPr fontId="1" type="noConversion"/>
  </si>
  <si>
    <t>이진웅</t>
    <phoneticPr fontId="1" type="noConversion"/>
  </si>
  <si>
    <t>김상진</t>
    <phoneticPr fontId="1" type="noConversion"/>
  </si>
  <si>
    <t>임재성</t>
    <phoneticPr fontId="1" type="noConversion"/>
  </si>
  <si>
    <t>원세찬</t>
    <phoneticPr fontId="1" type="noConversion"/>
  </si>
  <si>
    <t>남영찬</t>
    <phoneticPr fontId="1" type="noConversion"/>
  </si>
  <si>
    <t>방영우</t>
    <phoneticPr fontId="1" type="noConversion"/>
  </si>
  <si>
    <t>안현우</t>
    <phoneticPr fontId="1" type="noConversion"/>
  </si>
  <si>
    <t>이미나</t>
    <phoneticPr fontId="1" type="noConversion"/>
  </si>
  <si>
    <t>정지은</t>
    <phoneticPr fontId="1" type="noConversion"/>
  </si>
  <si>
    <t>유은주</t>
    <phoneticPr fontId="1" type="noConversion"/>
  </si>
  <si>
    <t>성상민</t>
    <phoneticPr fontId="1" type="noConversion"/>
  </si>
  <si>
    <t>비고</t>
    <phoneticPr fontId="1" type="noConversion"/>
  </si>
  <si>
    <t>[표1] 아르바이트 월급내역</t>
    <phoneticPr fontId="1" type="noConversion"/>
  </si>
  <si>
    <t>근무시간</t>
    <phoneticPr fontId="1" type="noConversion"/>
  </si>
  <si>
    <t>[표2] 구분별 최대 근무시간</t>
    <phoneticPr fontId="1" type="noConversion"/>
  </si>
  <si>
    <t>입사일</t>
    <phoneticPr fontId="1" type="noConversion"/>
  </si>
  <si>
    <t>[표3] 아르바이트 현황</t>
    <phoneticPr fontId="1" type="noConversion"/>
  </si>
  <si>
    <t>입사년도</t>
    <phoneticPr fontId="1" type="noConversion"/>
  </si>
  <si>
    <t>평일</t>
    <phoneticPr fontId="1" type="noConversion"/>
  </si>
  <si>
    <t>주말</t>
    <phoneticPr fontId="1" type="noConversion"/>
  </si>
  <si>
    <t>추가수당</t>
    <phoneticPr fontId="1" type="noConversion"/>
  </si>
  <si>
    <t>[표1] 1월</t>
    <phoneticPr fontId="1" type="noConversion"/>
  </si>
  <si>
    <t>제품명</t>
    <phoneticPr fontId="1" type="noConversion"/>
  </si>
  <si>
    <t>목표량</t>
    <phoneticPr fontId="1" type="noConversion"/>
  </si>
  <si>
    <t>판매량</t>
    <phoneticPr fontId="1" type="noConversion"/>
  </si>
  <si>
    <t>그래픽카드</t>
    <phoneticPr fontId="1" type="noConversion"/>
  </si>
  <si>
    <t>CPU</t>
    <phoneticPr fontId="1" type="noConversion"/>
  </si>
  <si>
    <t>SSD</t>
    <phoneticPr fontId="1" type="noConversion"/>
  </si>
  <si>
    <t>RAM</t>
    <phoneticPr fontId="1" type="noConversion"/>
  </si>
  <si>
    <t>메인보드</t>
    <phoneticPr fontId="1" type="noConversion"/>
  </si>
  <si>
    <t>RAM</t>
    <phoneticPr fontId="1" type="noConversion"/>
  </si>
  <si>
    <t>그래픽카드</t>
    <phoneticPr fontId="1" type="noConversion"/>
  </si>
  <si>
    <t>그래픽카드</t>
    <phoneticPr fontId="1" type="noConversion"/>
  </si>
  <si>
    <t>메인보드</t>
    <phoneticPr fontId="1" type="noConversion"/>
  </si>
  <si>
    <t>SSD</t>
    <phoneticPr fontId="1" type="noConversion"/>
  </si>
  <si>
    <t>RAM</t>
    <phoneticPr fontId="1" type="noConversion"/>
  </si>
  <si>
    <t>메인보드</t>
    <phoneticPr fontId="1" type="noConversion"/>
  </si>
  <si>
    <t>메인보드</t>
    <phoneticPr fontId="1" type="noConversion"/>
  </si>
  <si>
    <t>SSD</t>
    <phoneticPr fontId="1" type="noConversion"/>
  </si>
  <si>
    <t>SSD</t>
    <phoneticPr fontId="1" type="noConversion"/>
  </si>
  <si>
    <t>그래픽카드</t>
    <phoneticPr fontId="1" type="noConversion"/>
  </si>
  <si>
    <t>그래픽카드</t>
    <phoneticPr fontId="1" type="noConversion"/>
  </si>
  <si>
    <t>[표2] 2월</t>
    <phoneticPr fontId="1" type="noConversion"/>
  </si>
  <si>
    <t>[표3] 3월</t>
    <phoneticPr fontId="1" type="noConversion"/>
  </si>
  <si>
    <t>[표4] 4월</t>
    <phoneticPr fontId="1" type="noConversion"/>
  </si>
  <si>
    <t>[표5] 5월</t>
    <phoneticPr fontId="1" type="noConversion"/>
  </si>
  <si>
    <t>[표6] 6월</t>
    <phoneticPr fontId="1" type="noConversion"/>
  </si>
  <si>
    <t>[표7] 제품별 평균</t>
    <phoneticPr fontId="1" type="noConversion"/>
  </si>
  <si>
    <t>제품명</t>
    <phoneticPr fontId="1" type="noConversion"/>
  </si>
  <si>
    <t>재고량</t>
    <phoneticPr fontId="1" type="noConversion"/>
  </si>
  <si>
    <t>판매량</t>
    <phoneticPr fontId="1" type="noConversion"/>
  </si>
  <si>
    <t>단가</t>
    <phoneticPr fontId="1" type="noConversion"/>
  </si>
  <si>
    <t>비율</t>
    <phoneticPr fontId="1" type="noConversion"/>
  </si>
  <si>
    <t>컴퓨터 부품 재고/판매 현황</t>
    <phoneticPr fontId="1" type="noConversion"/>
  </si>
  <si>
    <t>RAM</t>
    <phoneticPr fontId="1" type="noConversion"/>
  </si>
  <si>
    <t>VGA</t>
    <phoneticPr fontId="1" type="noConversion"/>
  </si>
  <si>
    <t>POWER</t>
    <phoneticPr fontId="1" type="noConversion"/>
  </si>
  <si>
    <t>총합계</t>
  </si>
  <si>
    <t>1월</t>
  </si>
  <si>
    <t>2월</t>
  </si>
  <si>
    <t>3월</t>
  </si>
  <si>
    <t>합계 : 매출액</t>
  </si>
  <si>
    <t>설립일자</t>
  </si>
  <si>
    <t>지역</t>
  </si>
  <si>
    <t>서울</t>
  </si>
  <si>
    <t>경기</t>
  </si>
  <si>
    <t>인천</t>
  </si>
  <si>
    <t>2020-01-18 - 2020-11-03</t>
  </si>
  <si>
    <t>2011-01-20 - 2014-01-18</t>
  </si>
  <si>
    <t>2014-01-19 - 2017-01-17</t>
  </si>
  <si>
    <t>2017-01-18 - 2020-01-17</t>
  </si>
  <si>
    <t>상품명</t>
  </si>
  <si>
    <t>상품코드</t>
  </si>
  <si>
    <t>2021년판매량</t>
  </si>
  <si>
    <t>2022년판매량</t>
  </si>
  <si>
    <t>노트북</t>
  </si>
  <si>
    <t>전자부품 연도별 판매량</t>
    <phoneticPr fontId="1" type="noConversion"/>
  </si>
  <si>
    <t>2020년판매량</t>
    <phoneticPr fontId="1" type="noConversion"/>
  </si>
  <si>
    <t>LED</t>
    <phoneticPr fontId="1" type="noConversion"/>
  </si>
  <si>
    <t>L1120</t>
    <phoneticPr fontId="1" type="noConversion"/>
  </si>
  <si>
    <t>SSD</t>
    <phoneticPr fontId="1" type="noConversion"/>
  </si>
  <si>
    <t>S5523</t>
    <phoneticPr fontId="1" type="noConversion"/>
  </si>
  <si>
    <t>복합기</t>
    <phoneticPr fontId="1" type="noConversion"/>
  </si>
  <si>
    <t>TH1155</t>
    <phoneticPr fontId="1" type="noConversion"/>
  </si>
  <si>
    <t>N3050</t>
    <phoneticPr fontId="1" type="noConversion"/>
  </si>
  <si>
    <t>VR</t>
    <phoneticPr fontId="1" type="noConversion"/>
  </si>
  <si>
    <t>V1203</t>
    <phoneticPr fontId="1" type="noConversion"/>
  </si>
  <si>
    <t>CPU</t>
    <phoneticPr fontId="1" type="noConversion"/>
  </si>
  <si>
    <t>A1120</t>
    <phoneticPr fontId="1" type="noConversion"/>
  </si>
  <si>
    <t>VGA</t>
    <phoneticPr fontId="1" type="noConversion"/>
  </si>
  <si>
    <t>R3070</t>
    <phoneticPr fontId="1" type="noConversion"/>
  </si>
  <si>
    <t>마우스</t>
    <phoneticPr fontId="1" type="noConversion"/>
  </si>
  <si>
    <t>G1061</t>
    <phoneticPr fontId="1" type="noConversion"/>
  </si>
  <si>
    <t>키보드</t>
    <phoneticPr fontId="1" type="noConversion"/>
  </si>
  <si>
    <t>KB224</t>
    <phoneticPr fontId="1" type="noConversion"/>
  </si>
  <si>
    <t>허브</t>
    <phoneticPr fontId="1" type="noConversion"/>
  </si>
  <si>
    <t>H1200</t>
    <phoneticPr fontId="1" type="noConversion"/>
  </si>
  <si>
    <t>라우터</t>
    <phoneticPr fontId="1" type="noConversion"/>
  </si>
  <si>
    <t>RA1256</t>
    <phoneticPr fontId="1" type="noConversion"/>
  </si>
  <si>
    <t>NAS</t>
    <phoneticPr fontId="1" type="noConversion"/>
  </si>
  <si>
    <t>N1121</t>
    <phoneticPr fontId="1" type="noConversion"/>
  </si>
  <si>
    <t>공유기</t>
    <phoneticPr fontId="1" type="noConversion"/>
  </si>
  <si>
    <t>T6250</t>
    <phoneticPr fontId="1" type="noConversion"/>
  </si>
  <si>
    <t>조건</t>
    <phoneticPr fontId="1" type="noConversion"/>
  </si>
  <si>
    <t>[표1] 부품 현황표</t>
    <phoneticPr fontId="1" type="noConversion"/>
  </si>
  <si>
    <t>부품명</t>
    <phoneticPr fontId="1" type="noConversion"/>
  </si>
  <si>
    <t>부품명</t>
    <phoneticPr fontId="1" type="noConversion"/>
  </si>
  <si>
    <t>입고월</t>
    <phoneticPr fontId="1" type="noConversion"/>
  </si>
  <si>
    <t>1월</t>
    <phoneticPr fontId="1" type="noConversion"/>
  </si>
  <si>
    <t>총합</t>
    <phoneticPr fontId="1" type="noConversion"/>
  </si>
  <si>
    <t>케이스</t>
    <phoneticPr fontId="1" type="noConversion"/>
  </si>
  <si>
    <t>파워서플라이</t>
    <phoneticPr fontId="1" type="noConversion"/>
  </si>
  <si>
    <t>HDD</t>
    <phoneticPr fontId="1" type="noConversion"/>
  </si>
  <si>
    <t>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</si>
</sst>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_ "/>
    <numFmt numFmtId="177" formatCode="0.0"/>
    <numFmt numFmtId="178" formatCode="0.0%"/>
    <numFmt numFmtId="179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78" fontId="0" fillId="0" borderId="1" xfId="2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'기타작업-1'!$B$1:$F$1</c:f>
          <c:strCache>
            <c:ptCount val="5"/>
            <c:pt idx="0">
              <c:v>컴퓨터 부품 재고/판매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재고량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SSD</c:v>
                </c:pt>
                <c:pt idx="1">
                  <c:v>RAM</c:v>
                </c:pt>
                <c:pt idx="2">
                  <c:v>CPU</c:v>
                </c:pt>
                <c:pt idx="3">
                  <c:v>VGA</c:v>
                </c:pt>
                <c:pt idx="4">
                  <c:v>POWER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2500</c:v>
                </c:pt>
                <c:pt idx="1">
                  <c:v>3400</c:v>
                </c:pt>
                <c:pt idx="2">
                  <c:v>4200</c:v>
                </c:pt>
                <c:pt idx="3">
                  <c:v>5600</c:v>
                </c:pt>
                <c:pt idx="4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3-4A12-891A-8DC7F6B3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0563584"/>
        <c:axId val="1540567328"/>
      </c:barChart>
      <c:lineChart>
        <c:grouping val="standard"/>
        <c:varyColors val="0"/>
        <c:ser>
          <c:idx val="2"/>
          <c:order val="1"/>
          <c:tx>
            <c:strRef>
              <c:f>'기타작업-1'!$F$3</c:f>
              <c:strCache>
                <c:ptCount val="1"/>
                <c:pt idx="0">
                  <c:v>비율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3E-49F0-986F-8F248852FE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SSD</c:v>
                </c:pt>
                <c:pt idx="1">
                  <c:v>RAM</c:v>
                </c:pt>
                <c:pt idx="2">
                  <c:v>CPU</c:v>
                </c:pt>
                <c:pt idx="3">
                  <c:v>VGA</c:v>
                </c:pt>
                <c:pt idx="4">
                  <c:v>POWER</c:v>
                </c:pt>
              </c:strCache>
            </c:strRef>
          </c:cat>
          <c:val>
            <c:numRef>
              <c:f>'기타작업-1'!$F$4:$F$8</c:f>
              <c:numCache>
                <c:formatCode>0.0%</c:formatCode>
                <c:ptCount val="5"/>
                <c:pt idx="0">
                  <c:v>0.50280000000000002</c:v>
                </c:pt>
                <c:pt idx="1">
                  <c:v>0.78529411764705881</c:v>
                </c:pt>
                <c:pt idx="2">
                  <c:v>0.80976190476190479</c:v>
                </c:pt>
                <c:pt idx="3">
                  <c:v>0.89535714285714285</c:v>
                </c:pt>
                <c:pt idx="4">
                  <c:v>0.861578947368421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E3-4A12-891A-8DC7F6B3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2285199"/>
        <c:axId val="1502297679"/>
      </c:lineChart>
      <c:catAx>
        <c:axId val="15405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0567328"/>
        <c:crosses val="autoZero"/>
        <c:auto val="1"/>
        <c:lblAlgn val="ctr"/>
        <c:lblOffset val="100"/>
        <c:noMultiLvlLbl val="0"/>
      </c:catAx>
      <c:valAx>
        <c:axId val="154056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0563584"/>
        <c:crosses val="autoZero"/>
        <c:crossBetween val="between"/>
      </c:valAx>
      <c:valAx>
        <c:axId val="1502297679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2285199"/>
        <c:crosses val="max"/>
        <c:crossBetween val="between"/>
        <c:majorUnit val="0.2"/>
      </c:valAx>
      <c:catAx>
        <c:axId val="1502285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2976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6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0</xdr:row>
          <xdr:rowOff>95250</xdr:rowOff>
        </xdr:from>
        <xdr:to>
          <xdr:col>6</xdr:col>
          <xdr:colOff>371475</xdr:colOff>
          <xdr:row>2</xdr:row>
          <xdr:rowOff>47625</xdr:rowOff>
        </xdr:to>
        <xdr:sp macro="" textlink="">
          <xdr:nvSpPr>
            <xdr:cNvPr id="9217" name="cmd입력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사용자" refreshedDate="44850.612687037035" createdVersion="6" refreshedVersion="6" minRefreshableVersion="3" recordCount="14" xr:uid="{00000000-000A-0000-FFFF-FFFF00000000}">
  <cacheSource type="external" connectionId="1"/>
  <cacheFields count="7">
    <cacheField name="매장코드" numFmtId="0" sqlType="-9">
      <sharedItems count="14">
        <s v="JK-002"/>
        <s v="JE-0013"/>
        <s v="AA-201"/>
        <s v="AW-114"/>
        <s v="TA-2013"/>
        <s v="YA-225"/>
        <s v="AW-235"/>
        <s v="YT-5022"/>
        <s v="JT-115"/>
        <s v="AW-2030"/>
        <s v="YT3067"/>
        <s v="AA-2060"/>
        <s v="JE-1022"/>
        <s v="TA-1021"/>
      </sharedItems>
    </cacheField>
    <cacheField name="거래처명" numFmtId="0" sqlType="-9">
      <sharedItems count="14">
        <s v="컴월드"/>
        <s v="넷버스"/>
        <s v="영등포매장"/>
        <s v="공항매장"/>
        <s v="컴월드2호"/>
        <s v="컴월드3호"/>
        <s v="SALE컴"/>
        <s v="뉴컴S"/>
        <s v="종로매장"/>
        <s v="계양매장"/>
        <s v="세웅컴"/>
        <s v="다온매장"/>
        <s v="우리컴퓨터"/>
        <s v="월드컴퓨터"/>
      </sharedItems>
    </cacheField>
    <cacheField name="대표" numFmtId="0" sqlType="-9">
      <sharedItems count="14">
        <s v="김진호"/>
        <s v="이종명"/>
        <s v="최주원"/>
        <s v="서범준"/>
        <s v="김동연"/>
        <s v="이원진"/>
        <s v="박채영"/>
        <s v="이하율"/>
        <s v="최지선"/>
        <s v="구원준"/>
        <s v="박세웅"/>
        <s v="김현우"/>
        <s v="오종민"/>
        <s v="이슬기"/>
      </sharedItems>
    </cacheField>
    <cacheField name="설립일자" numFmtId="0" sqlType="11">
      <sharedItems containsSemiMixedTypes="0" containsNonDate="0" containsDate="1" containsString="0" minDate="2011-01-20T00:00:00" maxDate="2020-11-03T00:00:00" count="14">
        <d v="2012-01-10T00:00:00"/>
        <d v="2015-03-02T00:00:00"/>
        <d v="2014-01-11T00:00:00"/>
        <d v="2015-04-10T00:00:00"/>
        <d v="2013-02-10T00:00:00"/>
        <d v="2016-02-16T00:00:00"/>
        <d v="2011-01-20T00:00:00"/>
        <d v="2015-03-06T00:00:00"/>
        <d v="2018-04-23T00:00:00"/>
        <d v="2020-01-20T00:00:00"/>
        <d v="2019-10-20T00:00:00"/>
        <d v="2017-09-01T00:00:00"/>
        <d v="2019-01-28T00:00:00"/>
        <d v="2020-11-02T00:00:00"/>
      </sharedItems>
      <fieldGroup base="3">
        <rangePr groupBy="days" startDate="2011-01-20T00:00:00" endDate="2020-11-03T00:00:00" groupInterval="1095"/>
        <groupItems count="6">
          <s v="&lt;2011-01-20"/>
          <s v="2011-01-20 - 2014-01-18"/>
          <s v="2014-01-19 - 2017-01-17"/>
          <s v="2017-01-18 - 2020-01-17"/>
          <s v="2020-01-18 - 2020-11-03"/>
          <s v="&gt;2020-11-03"/>
        </groupItems>
      </fieldGroup>
    </cacheField>
    <cacheField name="거래구분" numFmtId="0" sqlType="-9">
      <sharedItems count="2">
        <s v="온라인"/>
        <s v="오프라인"/>
      </sharedItems>
    </cacheField>
    <cacheField name="지역" numFmtId="0" sqlType="-9">
      <sharedItems count="3">
        <s v="경기"/>
        <s v="서울"/>
        <s v="인천"/>
      </sharedItems>
    </cacheField>
    <cacheField name="매출액" numFmtId="0" sqlType="4">
      <sharedItems containsSemiMixedTypes="0" containsString="0" containsNumber="1" containsInteger="1" minValue="25900000" maxValue="49230000" count="14">
        <n v="35450000"/>
        <n v="33670000"/>
        <n v="27000300"/>
        <n v="45600000"/>
        <n v="25900000"/>
        <n v="34850000"/>
        <n v="43560000"/>
        <n v="29650000"/>
        <n v="32500000"/>
        <n v="39760000"/>
        <n v="42580000"/>
        <n v="32620000"/>
        <n v="47420000"/>
        <n v="4923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x v="0"/>
    <x v="0"/>
    <x v="0"/>
    <x v="0"/>
  </r>
  <r>
    <x v="1"/>
    <x v="1"/>
    <x v="1"/>
    <x v="1"/>
    <x v="1"/>
    <x v="0"/>
    <x v="1"/>
  </r>
  <r>
    <x v="2"/>
    <x v="2"/>
    <x v="2"/>
    <x v="2"/>
    <x v="0"/>
    <x v="1"/>
    <x v="2"/>
  </r>
  <r>
    <x v="3"/>
    <x v="3"/>
    <x v="3"/>
    <x v="3"/>
    <x v="0"/>
    <x v="2"/>
    <x v="3"/>
  </r>
  <r>
    <x v="4"/>
    <x v="4"/>
    <x v="4"/>
    <x v="4"/>
    <x v="1"/>
    <x v="2"/>
    <x v="4"/>
  </r>
  <r>
    <x v="5"/>
    <x v="5"/>
    <x v="5"/>
    <x v="5"/>
    <x v="0"/>
    <x v="0"/>
    <x v="5"/>
  </r>
  <r>
    <x v="6"/>
    <x v="6"/>
    <x v="6"/>
    <x v="6"/>
    <x v="1"/>
    <x v="1"/>
    <x v="6"/>
  </r>
  <r>
    <x v="7"/>
    <x v="7"/>
    <x v="7"/>
    <x v="7"/>
    <x v="0"/>
    <x v="2"/>
    <x v="7"/>
  </r>
  <r>
    <x v="8"/>
    <x v="8"/>
    <x v="8"/>
    <x v="8"/>
    <x v="0"/>
    <x v="1"/>
    <x v="8"/>
  </r>
  <r>
    <x v="9"/>
    <x v="9"/>
    <x v="9"/>
    <x v="9"/>
    <x v="1"/>
    <x v="2"/>
    <x v="9"/>
  </r>
  <r>
    <x v="10"/>
    <x v="10"/>
    <x v="10"/>
    <x v="10"/>
    <x v="0"/>
    <x v="0"/>
    <x v="10"/>
  </r>
  <r>
    <x v="11"/>
    <x v="11"/>
    <x v="11"/>
    <x v="11"/>
    <x v="1"/>
    <x v="1"/>
    <x v="11"/>
  </r>
  <r>
    <x v="12"/>
    <x v="12"/>
    <x v="12"/>
    <x v="12"/>
    <x v="0"/>
    <x v="0"/>
    <x v="12"/>
  </r>
  <r>
    <x v="13"/>
    <x v="13"/>
    <x v="13"/>
    <x v="13"/>
    <x v="0"/>
    <x v="0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3:F9" firstHeaderRow="1" firstDataRow="2" firstDataCol="1"/>
  <pivotFields count="7">
    <pivotField compact="0" showAll="0"/>
    <pivotField compact="0" showAll="0"/>
    <pivotField compact="0" showAll="0"/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  <pivotField axis="axisCol" compact="0" showAll="0">
      <items count="4">
        <item x="1"/>
        <item x="0"/>
        <item x="2"/>
        <item t="default"/>
      </items>
    </pivotField>
    <pivotField dataField="1" compact="0" showAll="0"/>
  </pivotFields>
  <rowFields count="1">
    <field x="3"/>
  </rowFields>
  <rowItems count="5">
    <i>
      <x v="1"/>
    </i>
    <i>
      <x v="2"/>
    </i>
    <i>
      <x v="3"/>
    </i>
    <i>
      <x v="4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합계 : 매출액" fld="6" baseField="3" baseItem="1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39"/>
  <sheetViews>
    <sheetView workbookViewId="0"/>
  </sheetViews>
  <sheetFormatPr defaultRowHeight="16.5" x14ac:dyDescent="0.3"/>
  <cols>
    <col min="4" max="4" width="13" customWidth="1"/>
  </cols>
  <sheetData>
    <row r="2" spans="2:8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</row>
    <row r="3" spans="2:8" x14ac:dyDescent="0.3">
      <c r="B3" s="1" t="s">
        <v>7</v>
      </c>
      <c r="C3" s="1" t="s">
        <v>32</v>
      </c>
      <c r="D3" s="2">
        <v>37270</v>
      </c>
      <c r="E3" s="1">
        <v>90</v>
      </c>
      <c r="F3" s="1">
        <v>84</v>
      </c>
      <c r="G3" s="1">
        <v>89</v>
      </c>
      <c r="H3" s="3">
        <v>87.666666666666671</v>
      </c>
    </row>
    <row r="4" spans="2:8" x14ac:dyDescent="0.3">
      <c r="B4" s="1" t="s">
        <v>8</v>
      </c>
      <c r="C4" s="1" t="s">
        <v>33</v>
      </c>
      <c r="D4" s="2">
        <v>37634</v>
      </c>
      <c r="E4" s="1">
        <v>99</v>
      </c>
      <c r="F4" s="1">
        <v>85</v>
      </c>
      <c r="G4" s="1">
        <v>86</v>
      </c>
      <c r="H4" s="3">
        <v>90</v>
      </c>
    </row>
    <row r="5" spans="2:8" x14ac:dyDescent="0.3">
      <c r="B5" s="1" t="s">
        <v>9</v>
      </c>
      <c r="C5" s="1" t="s">
        <v>34</v>
      </c>
      <c r="D5" s="2">
        <v>36899</v>
      </c>
      <c r="E5" s="1">
        <v>84</v>
      </c>
      <c r="F5" s="1">
        <v>87</v>
      </c>
      <c r="G5" s="1">
        <v>98</v>
      </c>
      <c r="H5" s="3">
        <v>89.666666666666671</v>
      </c>
    </row>
    <row r="6" spans="2:8" x14ac:dyDescent="0.3">
      <c r="B6" s="1" t="s">
        <v>10</v>
      </c>
      <c r="C6" s="1" t="s">
        <v>35</v>
      </c>
      <c r="D6" s="2">
        <v>41127</v>
      </c>
      <c r="E6" s="1">
        <v>75</v>
      </c>
      <c r="F6" s="1">
        <v>86</v>
      </c>
      <c r="G6" s="1">
        <v>97</v>
      </c>
      <c r="H6" s="3">
        <v>86</v>
      </c>
    </row>
    <row r="7" spans="2:8" x14ac:dyDescent="0.3">
      <c r="B7" s="1" t="s">
        <v>11</v>
      </c>
      <c r="C7" s="1" t="s">
        <v>36</v>
      </c>
      <c r="D7" s="2">
        <v>38504</v>
      </c>
      <c r="E7" s="1">
        <v>85</v>
      </c>
      <c r="F7" s="1">
        <v>83</v>
      </c>
      <c r="G7" s="1">
        <v>93</v>
      </c>
      <c r="H7" s="3">
        <v>87</v>
      </c>
    </row>
    <row r="8" spans="2:8" x14ac:dyDescent="0.3">
      <c r="B8" s="1" t="s">
        <v>12</v>
      </c>
      <c r="C8" s="1" t="s">
        <v>37</v>
      </c>
      <c r="D8" s="2">
        <v>42016</v>
      </c>
      <c r="E8" s="1">
        <v>64</v>
      </c>
      <c r="F8" s="1">
        <v>79</v>
      </c>
      <c r="G8" s="1">
        <v>92</v>
      </c>
      <c r="H8" s="3">
        <v>78.333333333333329</v>
      </c>
    </row>
    <row r="9" spans="2:8" x14ac:dyDescent="0.3">
      <c r="B9" s="1" t="s">
        <v>13</v>
      </c>
      <c r="C9" s="1" t="s">
        <v>38</v>
      </c>
      <c r="D9" s="2">
        <v>37074</v>
      </c>
      <c r="E9" s="1">
        <v>89</v>
      </c>
      <c r="F9" s="1">
        <v>79</v>
      </c>
      <c r="G9" s="1">
        <v>94</v>
      </c>
      <c r="H9" s="3">
        <v>87.333333333333329</v>
      </c>
    </row>
    <row r="10" spans="2:8" x14ac:dyDescent="0.3">
      <c r="B10" s="1" t="s">
        <v>14</v>
      </c>
      <c r="C10" s="1" t="s">
        <v>39</v>
      </c>
      <c r="D10" s="2">
        <v>42948</v>
      </c>
      <c r="E10" s="1">
        <v>56</v>
      </c>
      <c r="F10" s="1">
        <v>76</v>
      </c>
      <c r="G10" s="1">
        <v>85</v>
      </c>
      <c r="H10" s="3">
        <v>72.333333333333329</v>
      </c>
    </row>
    <row r="11" spans="2:8" x14ac:dyDescent="0.3">
      <c r="B11" s="1" t="s">
        <v>15</v>
      </c>
      <c r="C11" s="1" t="s">
        <v>40</v>
      </c>
      <c r="D11" s="2">
        <v>43475</v>
      </c>
      <c r="E11" s="1">
        <v>54</v>
      </c>
      <c r="F11" s="1">
        <v>74</v>
      </c>
      <c r="G11" s="1">
        <v>89</v>
      </c>
      <c r="H11" s="3">
        <v>72.333333333333329</v>
      </c>
    </row>
    <row r="12" spans="2:8" x14ac:dyDescent="0.3">
      <c r="B12" s="1" t="s">
        <v>16</v>
      </c>
      <c r="C12" s="1" t="s">
        <v>41</v>
      </c>
      <c r="D12" s="2">
        <v>40553</v>
      </c>
      <c r="E12" s="1">
        <v>75</v>
      </c>
      <c r="F12" s="1">
        <v>85</v>
      </c>
      <c r="G12" s="1">
        <v>86</v>
      </c>
      <c r="H12" s="3">
        <v>82</v>
      </c>
    </row>
    <row r="13" spans="2:8" x14ac:dyDescent="0.3">
      <c r="B13" s="1" t="s">
        <v>17</v>
      </c>
      <c r="C13" s="1" t="s">
        <v>56</v>
      </c>
      <c r="D13" s="2">
        <v>41465</v>
      </c>
      <c r="E13" s="1">
        <v>85</v>
      </c>
      <c r="F13" s="1">
        <v>81</v>
      </c>
      <c r="G13" s="1">
        <v>88</v>
      </c>
      <c r="H13" s="3">
        <v>84.666666666666671</v>
      </c>
    </row>
    <row r="14" spans="2:8" x14ac:dyDescent="0.3">
      <c r="B14" s="1" t="s">
        <v>18</v>
      </c>
      <c r="C14" s="1" t="s">
        <v>42</v>
      </c>
      <c r="D14" s="2">
        <v>37270</v>
      </c>
      <c r="E14" s="1">
        <v>91</v>
      </c>
      <c r="F14" s="1">
        <v>82</v>
      </c>
      <c r="G14" s="1">
        <v>77</v>
      </c>
      <c r="H14" s="3">
        <v>83.333333333333329</v>
      </c>
    </row>
    <row r="15" spans="2:8" x14ac:dyDescent="0.3">
      <c r="B15" s="1" t="s">
        <v>19</v>
      </c>
      <c r="C15" s="1" t="s">
        <v>43</v>
      </c>
      <c r="D15" s="2">
        <v>37270</v>
      </c>
      <c r="E15" s="1">
        <v>92</v>
      </c>
      <c r="F15" s="1">
        <v>98</v>
      </c>
      <c r="G15" s="1">
        <v>85</v>
      </c>
      <c r="H15" s="3">
        <v>91.666666666666671</v>
      </c>
    </row>
    <row r="16" spans="2:8" x14ac:dyDescent="0.3">
      <c r="B16" s="1" t="s">
        <v>20</v>
      </c>
      <c r="C16" s="1" t="s">
        <v>44</v>
      </c>
      <c r="D16" s="2">
        <v>38201</v>
      </c>
      <c r="E16" s="1">
        <v>93</v>
      </c>
      <c r="F16" s="1">
        <v>95</v>
      </c>
      <c r="G16" s="1">
        <v>82</v>
      </c>
      <c r="H16" s="3">
        <v>90</v>
      </c>
    </row>
    <row r="17" spans="2:8" x14ac:dyDescent="0.3">
      <c r="B17" s="1" t="s">
        <v>21</v>
      </c>
      <c r="C17" s="1" t="s">
        <v>45</v>
      </c>
      <c r="D17" s="2">
        <v>42948</v>
      </c>
      <c r="E17" s="1">
        <v>85</v>
      </c>
      <c r="F17" s="1">
        <v>69</v>
      </c>
      <c r="G17" s="1">
        <v>83</v>
      </c>
      <c r="H17" s="3">
        <v>79</v>
      </c>
    </row>
    <row r="18" spans="2:8" x14ac:dyDescent="0.3">
      <c r="B18" s="1" t="s">
        <v>22</v>
      </c>
      <c r="C18" s="1" t="s">
        <v>46</v>
      </c>
      <c r="D18" s="2">
        <v>43840</v>
      </c>
      <c r="E18" s="1">
        <v>87</v>
      </c>
      <c r="F18" s="1">
        <v>85</v>
      </c>
      <c r="G18" s="1">
        <v>91</v>
      </c>
      <c r="H18" s="3">
        <v>87.666666666666671</v>
      </c>
    </row>
    <row r="19" spans="2:8" x14ac:dyDescent="0.3">
      <c r="B19" s="1" t="s">
        <v>23</v>
      </c>
      <c r="C19" s="1" t="s">
        <v>47</v>
      </c>
      <c r="D19" s="2">
        <v>42948</v>
      </c>
      <c r="E19" s="1">
        <v>71</v>
      </c>
      <c r="F19" s="1">
        <v>75</v>
      </c>
      <c r="G19" s="1">
        <v>85</v>
      </c>
      <c r="H19" s="3">
        <v>77</v>
      </c>
    </row>
    <row r="20" spans="2:8" x14ac:dyDescent="0.3">
      <c r="B20" s="1" t="s">
        <v>24</v>
      </c>
      <c r="C20" s="1" t="s">
        <v>48</v>
      </c>
      <c r="D20" s="2">
        <v>43475</v>
      </c>
      <c r="E20" s="1">
        <v>76</v>
      </c>
      <c r="F20" s="1">
        <v>76</v>
      </c>
      <c r="G20" s="1">
        <v>84</v>
      </c>
      <c r="H20" s="3">
        <v>78.666666666666671</v>
      </c>
    </row>
    <row r="21" spans="2:8" x14ac:dyDescent="0.3">
      <c r="B21" s="1" t="s">
        <v>25</v>
      </c>
      <c r="C21" s="1" t="s">
        <v>49</v>
      </c>
      <c r="D21" s="2">
        <v>44201</v>
      </c>
      <c r="E21" s="1">
        <v>85</v>
      </c>
      <c r="F21" s="1">
        <v>79</v>
      </c>
      <c r="G21" s="1">
        <v>86</v>
      </c>
      <c r="H21" s="3">
        <v>83.333333333333329</v>
      </c>
    </row>
    <row r="22" spans="2:8" x14ac:dyDescent="0.3">
      <c r="B22" s="1" t="s">
        <v>26</v>
      </c>
      <c r="C22" s="1" t="s">
        <v>50</v>
      </c>
      <c r="D22" s="2">
        <v>42016</v>
      </c>
      <c r="E22" s="1">
        <v>92</v>
      </c>
      <c r="F22" s="1">
        <v>81</v>
      </c>
      <c r="G22" s="1">
        <v>79</v>
      </c>
      <c r="H22" s="3">
        <v>84</v>
      </c>
    </row>
    <row r="23" spans="2:8" x14ac:dyDescent="0.3">
      <c r="B23" s="1" t="s">
        <v>27</v>
      </c>
      <c r="C23" s="1" t="s">
        <v>51</v>
      </c>
      <c r="D23" s="2">
        <v>42016</v>
      </c>
      <c r="E23" s="1">
        <v>91</v>
      </c>
      <c r="F23" s="1">
        <v>81</v>
      </c>
      <c r="G23" s="1">
        <v>77</v>
      </c>
      <c r="H23" s="3">
        <v>83</v>
      </c>
    </row>
    <row r="24" spans="2:8" x14ac:dyDescent="0.3">
      <c r="B24" s="1" t="s">
        <v>28</v>
      </c>
      <c r="C24" s="1" t="s">
        <v>52</v>
      </c>
      <c r="D24" s="2">
        <v>41887</v>
      </c>
      <c r="E24" s="1">
        <v>92</v>
      </c>
      <c r="F24" s="1">
        <v>86</v>
      </c>
      <c r="G24" s="1">
        <v>76</v>
      </c>
      <c r="H24" s="3">
        <v>84.666666666666671</v>
      </c>
    </row>
    <row r="25" spans="2:8" x14ac:dyDescent="0.3">
      <c r="B25" s="1" t="s">
        <v>29</v>
      </c>
      <c r="C25" s="1" t="s">
        <v>53</v>
      </c>
      <c r="D25" s="2">
        <v>44581</v>
      </c>
      <c r="E25" s="1">
        <v>92</v>
      </c>
      <c r="F25" s="1">
        <v>91</v>
      </c>
      <c r="G25" s="1">
        <v>91</v>
      </c>
      <c r="H25" s="3">
        <v>91.333333333333329</v>
      </c>
    </row>
    <row r="26" spans="2:8" x14ac:dyDescent="0.3">
      <c r="B26" s="1" t="s">
        <v>30</v>
      </c>
      <c r="C26" s="1" t="s">
        <v>54</v>
      </c>
      <c r="D26" s="2">
        <v>40071</v>
      </c>
      <c r="E26" s="1">
        <v>97</v>
      </c>
      <c r="F26" s="1">
        <v>92</v>
      </c>
      <c r="G26" s="1">
        <v>94</v>
      </c>
      <c r="H26" s="3">
        <v>94.333333333333329</v>
      </c>
    </row>
    <row r="27" spans="2:8" x14ac:dyDescent="0.3">
      <c r="B27" s="1" t="s">
        <v>31</v>
      </c>
      <c r="C27" s="1" t="s">
        <v>55</v>
      </c>
      <c r="D27" s="2">
        <v>40071</v>
      </c>
      <c r="E27" s="1">
        <v>98</v>
      </c>
      <c r="F27" s="1">
        <v>91</v>
      </c>
      <c r="G27" s="1">
        <v>95</v>
      </c>
      <c r="H27" s="3">
        <v>94.666666666666671</v>
      </c>
    </row>
    <row r="29" spans="2:8" x14ac:dyDescent="0.3">
      <c r="B29" s="21" t="s">
        <v>227</v>
      </c>
    </row>
    <row r="30" spans="2:8" x14ac:dyDescent="0.3">
      <c r="B30" t="b">
        <f>AND(MOD(RIGHT(B3,1),2)=1,H3&gt;MEDIAN($H$3:$H$27))</f>
        <v>1</v>
      </c>
    </row>
    <row r="32" spans="2:8" x14ac:dyDescent="0.3">
      <c r="B32" s="4" t="s">
        <v>0</v>
      </c>
      <c r="C32" s="4" t="s">
        <v>1</v>
      </c>
      <c r="D32" s="4" t="s">
        <v>3</v>
      </c>
      <c r="E32" s="4" t="s">
        <v>4</v>
      </c>
      <c r="F32" s="4" t="s">
        <v>5</v>
      </c>
    </row>
    <row r="33" spans="2:6" x14ac:dyDescent="0.3">
      <c r="B33" s="1" t="s">
        <v>7</v>
      </c>
      <c r="C33" s="1" t="s">
        <v>32</v>
      </c>
      <c r="D33" s="1">
        <v>90</v>
      </c>
      <c r="E33" s="1">
        <v>84</v>
      </c>
      <c r="F33" s="1">
        <v>89</v>
      </c>
    </row>
    <row r="34" spans="2:6" x14ac:dyDescent="0.3">
      <c r="B34" s="1" t="s">
        <v>9</v>
      </c>
      <c r="C34" s="1" t="s">
        <v>34</v>
      </c>
      <c r="D34" s="1">
        <v>84</v>
      </c>
      <c r="E34" s="1">
        <v>87</v>
      </c>
      <c r="F34" s="1">
        <v>98</v>
      </c>
    </row>
    <row r="35" spans="2:6" x14ac:dyDescent="0.3">
      <c r="B35" s="1" t="s">
        <v>13</v>
      </c>
      <c r="C35" s="1" t="s">
        <v>38</v>
      </c>
      <c r="D35" s="1">
        <v>89</v>
      </c>
      <c r="E35" s="1">
        <v>79</v>
      </c>
      <c r="F35" s="1">
        <v>94</v>
      </c>
    </row>
    <row r="36" spans="2:6" x14ac:dyDescent="0.3">
      <c r="B36" s="1" t="s">
        <v>20</v>
      </c>
      <c r="C36" s="1" t="s">
        <v>44</v>
      </c>
      <c r="D36" s="1">
        <v>93</v>
      </c>
      <c r="E36" s="1">
        <v>95</v>
      </c>
      <c r="F36" s="1">
        <v>82</v>
      </c>
    </row>
    <row r="37" spans="2:6" x14ac:dyDescent="0.3">
      <c r="B37" s="1" t="s">
        <v>22</v>
      </c>
      <c r="C37" s="1" t="s">
        <v>46</v>
      </c>
      <c r="D37" s="1">
        <v>87</v>
      </c>
      <c r="E37" s="1">
        <v>85</v>
      </c>
      <c r="F37" s="1">
        <v>91</v>
      </c>
    </row>
    <row r="38" spans="2:6" x14ac:dyDescent="0.3">
      <c r="B38" s="1" t="s">
        <v>29</v>
      </c>
      <c r="C38" s="1" t="s">
        <v>53</v>
      </c>
      <c r="D38" s="1">
        <v>92</v>
      </c>
      <c r="E38" s="1">
        <v>91</v>
      </c>
      <c r="F38" s="1">
        <v>91</v>
      </c>
    </row>
    <row r="39" spans="2:6" x14ac:dyDescent="0.3">
      <c r="B39" s="1" t="s">
        <v>30</v>
      </c>
      <c r="C39" s="1" t="s">
        <v>54</v>
      </c>
      <c r="D39" s="1">
        <v>97</v>
      </c>
      <c r="E39" s="1">
        <v>92</v>
      </c>
      <c r="F39" s="1">
        <v>94</v>
      </c>
    </row>
  </sheetData>
  <phoneticPr fontId="1" type="noConversion"/>
  <conditionalFormatting sqref="B3:H27">
    <cfRule type="expression" dxfId="0" priority="1">
      <formula>AND(ISODD(MONTH($D3)),$H3&gt;AVERAGE($H$3:$H$27))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4"/>
  <sheetViews>
    <sheetView workbookViewId="0">
      <selection activeCell="K15" sqref="K15"/>
    </sheetView>
  </sheetViews>
  <sheetFormatPr defaultRowHeight="16.5" x14ac:dyDescent="0.3"/>
  <cols>
    <col min="2" max="7" width="12.625" customWidth="1"/>
    <col min="8" max="8" width="16.25" customWidth="1"/>
  </cols>
  <sheetData>
    <row r="2" spans="2:8" x14ac:dyDescent="0.3">
      <c r="B2" s="6" t="s">
        <v>59</v>
      </c>
      <c r="C2" s="6" t="s">
        <v>57</v>
      </c>
      <c r="D2" s="6" t="s">
        <v>58</v>
      </c>
      <c r="E2" s="6" t="s">
        <v>60</v>
      </c>
      <c r="F2" s="6" t="s">
        <v>62</v>
      </c>
      <c r="G2" s="6" t="s">
        <v>65</v>
      </c>
      <c r="H2" s="6" t="s">
        <v>61</v>
      </c>
    </row>
    <row r="3" spans="2:8" x14ac:dyDescent="0.3">
      <c r="B3" s="1" t="s">
        <v>63</v>
      </c>
      <c r="C3" s="1" t="s">
        <v>64</v>
      </c>
      <c r="D3" s="1">
        <v>2020</v>
      </c>
      <c r="E3" s="1">
        <v>3</v>
      </c>
      <c r="F3" s="7">
        <v>3.5</v>
      </c>
      <c r="G3" s="1">
        <v>6</v>
      </c>
      <c r="H3" s="5">
        <v>199000</v>
      </c>
    </row>
    <row r="4" spans="2:8" x14ac:dyDescent="0.3">
      <c r="B4" s="1" t="s">
        <v>70</v>
      </c>
      <c r="C4" s="1" t="s">
        <v>66</v>
      </c>
      <c r="D4" s="1">
        <v>2022</v>
      </c>
      <c r="E4" s="1">
        <v>12</v>
      </c>
      <c r="F4" s="7">
        <v>3.6</v>
      </c>
      <c r="G4" s="1">
        <v>12</v>
      </c>
      <c r="H4" s="5">
        <v>590000</v>
      </c>
    </row>
    <row r="5" spans="2:8" x14ac:dyDescent="0.3">
      <c r="B5" s="1" t="s">
        <v>67</v>
      </c>
      <c r="C5" s="1" t="s">
        <v>68</v>
      </c>
      <c r="D5" s="1">
        <v>2022</v>
      </c>
      <c r="E5" s="1">
        <v>5</v>
      </c>
      <c r="F5" s="7">
        <v>4.7</v>
      </c>
      <c r="G5" s="1">
        <v>12</v>
      </c>
      <c r="H5" s="5">
        <v>950000</v>
      </c>
    </row>
    <row r="6" spans="2:8" x14ac:dyDescent="0.3">
      <c r="B6" s="1" t="s">
        <v>69</v>
      </c>
      <c r="C6" s="1" t="s">
        <v>71</v>
      </c>
      <c r="D6" s="1">
        <v>2021</v>
      </c>
      <c r="E6" s="1">
        <v>12</v>
      </c>
      <c r="F6" s="7">
        <v>3.7</v>
      </c>
      <c r="G6" s="1">
        <v>10</v>
      </c>
      <c r="H6" s="5">
        <v>430000</v>
      </c>
    </row>
    <row r="7" spans="2:8" x14ac:dyDescent="0.3">
      <c r="B7" s="1" t="s">
        <v>72</v>
      </c>
      <c r="C7" s="1" t="s">
        <v>68</v>
      </c>
      <c r="D7" s="1">
        <v>2020</v>
      </c>
      <c r="E7" s="1">
        <v>3</v>
      </c>
      <c r="F7" s="7">
        <v>3.2</v>
      </c>
      <c r="G7" s="1">
        <v>6</v>
      </c>
      <c r="H7" s="5">
        <v>210000</v>
      </c>
    </row>
    <row r="8" spans="2:8" x14ac:dyDescent="0.3">
      <c r="B8" s="1" t="s">
        <v>73</v>
      </c>
      <c r="C8" s="1" t="s">
        <v>68</v>
      </c>
      <c r="D8" s="1">
        <v>2020</v>
      </c>
      <c r="E8" s="1">
        <v>4</v>
      </c>
      <c r="F8" s="7">
        <v>3.4</v>
      </c>
      <c r="G8" s="1">
        <v>8</v>
      </c>
      <c r="H8" s="5">
        <v>620000</v>
      </c>
    </row>
    <row r="9" spans="2:8" x14ac:dyDescent="0.3">
      <c r="B9" s="1" t="s">
        <v>74</v>
      </c>
      <c r="C9" s="1" t="s">
        <v>71</v>
      </c>
      <c r="D9" s="1">
        <v>2021</v>
      </c>
      <c r="E9" s="1">
        <v>12</v>
      </c>
      <c r="F9" s="7">
        <v>2.5</v>
      </c>
      <c r="G9" s="1">
        <v>6</v>
      </c>
      <c r="H9" s="5">
        <v>302000</v>
      </c>
    </row>
    <row r="10" spans="2:8" x14ac:dyDescent="0.3">
      <c r="B10" s="1" t="s">
        <v>70</v>
      </c>
      <c r="C10" s="1" t="s">
        <v>71</v>
      </c>
      <c r="D10" s="1">
        <v>2022</v>
      </c>
      <c r="E10" s="1">
        <v>12</v>
      </c>
      <c r="F10" s="7">
        <v>3.6</v>
      </c>
      <c r="G10" s="1">
        <v>12</v>
      </c>
      <c r="H10" s="5">
        <v>615300</v>
      </c>
    </row>
    <row r="11" spans="2:8" x14ac:dyDescent="0.3">
      <c r="B11" s="1" t="s">
        <v>75</v>
      </c>
      <c r="C11" s="1" t="s">
        <v>64</v>
      </c>
      <c r="D11" s="1">
        <v>2021</v>
      </c>
      <c r="E11" s="1">
        <v>4</v>
      </c>
      <c r="F11" s="7">
        <v>3.7</v>
      </c>
      <c r="G11" s="1">
        <v>6</v>
      </c>
      <c r="H11" s="5">
        <v>258000</v>
      </c>
    </row>
    <row r="12" spans="2:8" x14ac:dyDescent="0.3">
      <c r="B12" s="1" t="s">
        <v>76</v>
      </c>
      <c r="C12" s="1" t="s">
        <v>77</v>
      </c>
      <c r="D12" s="1">
        <v>2020</v>
      </c>
      <c r="E12" s="1">
        <v>10</v>
      </c>
      <c r="F12" s="7">
        <v>3.8</v>
      </c>
      <c r="G12" s="1">
        <v>2</v>
      </c>
      <c r="H12" s="5">
        <v>114000</v>
      </c>
    </row>
    <row r="13" spans="2:8" x14ac:dyDescent="0.3">
      <c r="B13" s="1" t="s">
        <v>78</v>
      </c>
      <c r="C13" s="1" t="s">
        <v>68</v>
      </c>
      <c r="D13" s="1">
        <v>2020</v>
      </c>
      <c r="E13" s="1">
        <v>3</v>
      </c>
      <c r="F13" s="7">
        <v>3.8</v>
      </c>
      <c r="G13" s="1">
        <v>4</v>
      </c>
      <c r="H13" s="5">
        <v>151000</v>
      </c>
    </row>
    <row r="14" spans="2:8" x14ac:dyDescent="0.3">
      <c r="B14" s="1" t="s">
        <v>79</v>
      </c>
      <c r="C14" s="1" t="s">
        <v>68</v>
      </c>
      <c r="D14" s="1">
        <v>2021</v>
      </c>
      <c r="E14" s="1">
        <v>4</v>
      </c>
      <c r="F14" s="7">
        <v>3.8</v>
      </c>
      <c r="G14" s="1">
        <v>8</v>
      </c>
      <c r="H14" s="5">
        <v>468000</v>
      </c>
    </row>
    <row r="15" spans="2:8" x14ac:dyDescent="0.3">
      <c r="B15" s="1" t="s">
        <v>80</v>
      </c>
      <c r="C15" s="1" t="s">
        <v>71</v>
      </c>
      <c r="D15" s="1">
        <v>2020</v>
      </c>
      <c r="E15" s="1">
        <v>11</v>
      </c>
      <c r="F15" s="7">
        <v>2.6</v>
      </c>
      <c r="G15" s="1">
        <v>6</v>
      </c>
      <c r="H15" s="5">
        <v>248000</v>
      </c>
    </row>
    <row r="16" spans="2:8" x14ac:dyDescent="0.3">
      <c r="B16" s="1" t="s">
        <v>81</v>
      </c>
      <c r="C16" s="1" t="s">
        <v>82</v>
      </c>
      <c r="D16" s="1">
        <v>2021</v>
      </c>
      <c r="E16" s="1">
        <v>4</v>
      </c>
      <c r="F16" s="7">
        <v>3.7</v>
      </c>
      <c r="G16" s="1">
        <v>6</v>
      </c>
      <c r="H16" s="5">
        <v>358000</v>
      </c>
    </row>
    <row r="17" spans="2:8" x14ac:dyDescent="0.3">
      <c r="B17" s="1" t="s">
        <v>83</v>
      </c>
      <c r="C17" s="1" t="s">
        <v>71</v>
      </c>
      <c r="D17" s="1">
        <v>2021</v>
      </c>
      <c r="E17" s="1">
        <v>12</v>
      </c>
      <c r="F17" s="7">
        <v>2.1</v>
      </c>
      <c r="G17" s="1">
        <v>12</v>
      </c>
      <c r="H17" s="5">
        <v>565000</v>
      </c>
    </row>
    <row r="18" spans="2:8" x14ac:dyDescent="0.3">
      <c r="B18" s="1" t="s">
        <v>84</v>
      </c>
      <c r="C18" s="1" t="s">
        <v>68</v>
      </c>
      <c r="D18" s="1">
        <v>2022</v>
      </c>
      <c r="E18" s="1">
        <v>5</v>
      </c>
      <c r="F18" s="7">
        <v>3.7</v>
      </c>
      <c r="G18" s="1">
        <v>12</v>
      </c>
      <c r="H18" s="5">
        <v>521000</v>
      </c>
    </row>
    <row r="19" spans="2:8" x14ac:dyDescent="0.3">
      <c r="B19" s="1" t="s">
        <v>85</v>
      </c>
      <c r="C19" s="1" t="s">
        <v>71</v>
      </c>
      <c r="D19" s="1">
        <v>2021</v>
      </c>
      <c r="E19" s="1">
        <v>12</v>
      </c>
      <c r="F19" s="7">
        <v>3</v>
      </c>
      <c r="G19" s="1">
        <v>6</v>
      </c>
      <c r="H19" s="5">
        <v>372000</v>
      </c>
    </row>
    <row r="20" spans="2:8" x14ac:dyDescent="0.3">
      <c r="B20" s="1" t="s">
        <v>86</v>
      </c>
      <c r="C20" s="1" t="s">
        <v>71</v>
      </c>
      <c r="D20" s="1">
        <v>2021</v>
      </c>
      <c r="E20" s="1">
        <v>12</v>
      </c>
      <c r="F20" s="7">
        <v>2.5</v>
      </c>
      <c r="G20" s="1">
        <v>6</v>
      </c>
      <c r="H20" s="5">
        <v>351000</v>
      </c>
    </row>
    <row r="21" spans="2:8" x14ac:dyDescent="0.3">
      <c r="B21" s="1" t="s">
        <v>87</v>
      </c>
      <c r="C21" s="1" t="s">
        <v>68</v>
      </c>
      <c r="D21" s="1">
        <v>2020</v>
      </c>
      <c r="E21" s="1">
        <v>4</v>
      </c>
      <c r="F21" s="7">
        <v>3.9</v>
      </c>
      <c r="G21" s="1">
        <v>6</v>
      </c>
      <c r="H21" s="5">
        <v>223000</v>
      </c>
    </row>
    <row r="22" spans="2:8" x14ac:dyDescent="0.3">
      <c r="B22" s="1" t="s">
        <v>88</v>
      </c>
      <c r="C22" s="1" t="s">
        <v>71</v>
      </c>
      <c r="D22" s="1">
        <v>2021</v>
      </c>
      <c r="E22" s="1">
        <v>12</v>
      </c>
      <c r="F22" s="7">
        <v>3.2</v>
      </c>
      <c r="G22" s="1">
        <v>16</v>
      </c>
      <c r="H22" s="5">
        <v>850000</v>
      </c>
    </row>
    <row r="23" spans="2:8" x14ac:dyDescent="0.3">
      <c r="B23" s="1" t="s">
        <v>89</v>
      </c>
      <c r="C23" s="1" t="s">
        <v>68</v>
      </c>
      <c r="D23" s="1">
        <v>2021</v>
      </c>
      <c r="E23" s="1">
        <v>4</v>
      </c>
      <c r="F23" s="7">
        <v>3.4</v>
      </c>
      <c r="G23" s="1">
        <v>8</v>
      </c>
      <c r="H23" s="5">
        <v>326000</v>
      </c>
    </row>
    <row r="24" spans="2:8" x14ac:dyDescent="0.3">
      <c r="B24" s="1" t="s">
        <v>90</v>
      </c>
      <c r="C24" s="1" t="s">
        <v>68</v>
      </c>
      <c r="D24" s="1">
        <v>2021</v>
      </c>
      <c r="E24" s="1">
        <v>4</v>
      </c>
      <c r="F24" s="7">
        <v>3.5</v>
      </c>
      <c r="G24" s="1">
        <v>8</v>
      </c>
      <c r="H24" s="5">
        <v>423000</v>
      </c>
    </row>
    <row r="25" spans="2:8" x14ac:dyDescent="0.3">
      <c r="B25" s="1" t="s">
        <v>91</v>
      </c>
      <c r="C25" s="1" t="s">
        <v>68</v>
      </c>
      <c r="D25" s="1">
        <v>2020</v>
      </c>
      <c r="E25" s="1">
        <v>3</v>
      </c>
      <c r="F25" s="7">
        <v>3.5</v>
      </c>
      <c r="G25" s="1">
        <v>6</v>
      </c>
      <c r="H25" s="5">
        <v>201000</v>
      </c>
    </row>
    <row r="26" spans="2:8" x14ac:dyDescent="0.3">
      <c r="B26" s="1" t="s">
        <v>92</v>
      </c>
      <c r="C26" s="1" t="s">
        <v>71</v>
      </c>
      <c r="D26" s="1">
        <v>2020</v>
      </c>
      <c r="E26" s="1">
        <v>12</v>
      </c>
      <c r="F26" s="7">
        <v>3.3</v>
      </c>
      <c r="G26" s="1">
        <v>4</v>
      </c>
      <c r="H26" s="5">
        <v>165000</v>
      </c>
    </row>
    <row r="27" spans="2:8" x14ac:dyDescent="0.3">
      <c r="B27" s="1" t="s">
        <v>93</v>
      </c>
      <c r="C27" s="1" t="s">
        <v>77</v>
      </c>
      <c r="D27" s="1">
        <v>2021</v>
      </c>
      <c r="E27" s="1">
        <v>12</v>
      </c>
      <c r="F27" s="7">
        <v>3.7</v>
      </c>
      <c r="G27" s="1">
        <v>10</v>
      </c>
      <c r="H27" s="5">
        <v>426000</v>
      </c>
    </row>
    <row r="28" spans="2:8" x14ac:dyDescent="0.3">
      <c r="B28" s="1" t="s">
        <v>94</v>
      </c>
      <c r="C28" s="1" t="s">
        <v>68</v>
      </c>
      <c r="D28" s="1">
        <v>2021</v>
      </c>
      <c r="E28" s="1">
        <v>5</v>
      </c>
      <c r="F28" s="7">
        <v>4.0999999999999996</v>
      </c>
      <c r="G28" s="1">
        <v>10</v>
      </c>
      <c r="H28" s="5">
        <v>486000</v>
      </c>
    </row>
    <row r="29" spans="2:8" x14ac:dyDescent="0.3">
      <c r="B29" s="1" t="s">
        <v>95</v>
      </c>
      <c r="C29" s="1" t="s">
        <v>96</v>
      </c>
      <c r="D29" s="1">
        <v>2022</v>
      </c>
      <c r="E29" s="1">
        <v>12</v>
      </c>
      <c r="F29" s="7">
        <v>4.5</v>
      </c>
      <c r="G29" s="1">
        <v>16</v>
      </c>
      <c r="H29" s="5">
        <v>890000</v>
      </c>
    </row>
    <row r="30" spans="2:8" x14ac:dyDescent="0.3">
      <c r="B30" s="1" t="s">
        <v>97</v>
      </c>
      <c r="C30" s="1" t="s">
        <v>68</v>
      </c>
      <c r="D30" s="1">
        <v>2022</v>
      </c>
      <c r="E30" s="1">
        <v>5</v>
      </c>
      <c r="F30" s="7">
        <v>4.7</v>
      </c>
      <c r="G30" s="1">
        <v>6</v>
      </c>
      <c r="H30" s="5">
        <v>505000</v>
      </c>
    </row>
    <row r="31" spans="2:8" x14ac:dyDescent="0.3">
      <c r="B31" s="1" t="s">
        <v>98</v>
      </c>
      <c r="C31" s="1" t="s">
        <v>68</v>
      </c>
      <c r="D31" s="1">
        <v>2021</v>
      </c>
      <c r="E31" s="1">
        <v>4</v>
      </c>
      <c r="F31" s="7">
        <v>3.9</v>
      </c>
      <c r="G31" s="1">
        <v>6</v>
      </c>
      <c r="H31" s="5">
        <v>528000</v>
      </c>
    </row>
    <row r="32" spans="2:8" x14ac:dyDescent="0.3">
      <c r="B32" s="1" t="s">
        <v>99</v>
      </c>
      <c r="C32" s="1" t="s">
        <v>64</v>
      </c>
      <c r="D32" s="1">
        <v>2021</v>
      </c>
      <c r="E32" s="1">
        <v>5</v>
      </c>
      <c r="F32" s="7">
        <v>4.7</v>
      </c>
      <c r="G32" s="1">
        <v>12</v>
      </c>
      <c r="H32" s="5">
        <v>948000</v>
      </c>
    </row>
    <row r="33" spans="2:8" x14ac:dyDescent="0.3">
      <c r="B33" s="1" t="s">
        <v>100</v>
      </c>
      <c r="C33" s="1" t="s">
        <v>71</v>
      </c>
      <c r="D33" s="1">
        <v>2020</v>
      </c>
      <c r="E33" s="1">
        <v>11</v>
      </c>
      <c r="F33" s="7">
        <v>2.6</v>
      </c>
      <c r="G33" s="1">
        <v>6</v>
      </c>
      <c r="H33" s="5">
        <v>309000</v>
      </c>
    </row>
    <row r="34" spans="2:8" x14ac:dyDescent="0.3">
      <c r="B34" s="1" t="s">
        <v>101</v>
      </c>
      <c r="C34" s="1" t="s">
        <v>71</v>
      </c>
      <c r="D34" s="1">
        <v>2020</v>
      </c>
      <c r="E34" s="1">
        <v>10</v>
      </c>
      <c r="F34" s="7">
        <v>2.9</v>
      </c>
      <c r="G34" s="1">
        <v>6</v>
      </c>
      <c r="H34" s="5">
        <v>253000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M21"/>
  <sheetViews>
    <sheetView workbookViewId="0">
      <selection activeCell="I4" sqref="I4"/>
    </sheetView>
  </sheetViews>
  <sheetFormatPr defaultRowHeight="13.5" x14ac:dyDescent="0.3"/>
  <cols>
    <col min="1" max="1" width="9" style="9"/>
    <col min="2" max="8" width="11.75" style="9" customWidth="1"/>
    <col min="9" max="9" width="12.5" style="9" customWidth="1"/>
    <col min="10" max="10" width="2.625" style="9" customWidth="1"/>
    <col min="11" max="16384" width="9" style="9"/>
  </cols>
  <sheetData>
    <row r="2" spans="2:13" x14ac:dyDescent="0.3">
      <c r="B2" s="9" t="s">
        <v>136</v>
      </c>
      <c r="K2" s="9" t="s">
        <v>138</v>
      </c>
    </row>
    <row r="3" spans="2:13" x14ac:dyDescent="0.3">
      <c r="B3" s="13" t="s">
        <v>102</v>
      </c>
      <c r="C3" s="13" t="s">
        <v>139</v>
      </c>
      <c r="D3" s="13" t="s">
        <v>103</v>
      </c>
      <c r="E3" s="13" t="s">
        <v>104</v>
      </c>
      <c r="F3" s="13" t="s">
        <v>105</v>
      </c>
      <c r="G3" s="13" t="s">
        <v>106</v>
      </c>
      <c r="H3" s="13" t="s">
        <v>144</v>
      </c>
      <c r="I3" s="13" t="s">
        <v>135</v>
      </c>
      <c r="K3" s="17" t="s">
        <v>103</v>
      </c>
      <c r="L3" s="17" t="s">
        <v>137</v>
      </c>
      <c r="M3" s="17" t="s">
        <v>105</v>
      </c>
    </row>
    <row r="4" spans="2:13" x14ac:dyDescent="0.3">
      <c r="B4" s="11" t="s">
        <v>122</v>
      </c>
      <c r="C4" s="14">
        <v>44581</v>
      </c>
      <c r="D4" s="11" t="s">
        <v>107</v>
      </c>
      <c r="E4" s="11">
        <v>115</v>
      </c>
      <c r="F4" s="11">
        <v>4</v>
      </c>
      <c r="G4" s="12">
        <f ca="1">SUMPRODUCT(E4:F4,OFFSET($B$19,MATCH(D4,$B$20:$B$21,0),1,1,2))</f>
        <v>1289000</v>
      </c>
      <c r="H4" s="12" t="str">
        <f>IF(AND(D4="주말",OR(YEAR(C4)&lt;=2020,E4&gt;=110)),"지급","")</f>
        <v/>
      </c>
      <c r="I4" s="11" t="str" cm="1">
        <f t="array" ref="I4">fn비고(C4)</f>
        <v/>
      </c>
      <c r="K4" s="11" t="s">
        <v>107</v>
      </c>
      <c r="L4" s="11" t="str">
        <f t="array" ref="L4">_xlfn.CONCAT(MAX(IF($D$4:$D$16=$K4,E$4:E$16)),"시간")</f>
        <v>115시간</v>
      </c>
      <c r="M4" s="11" t="str">
        <f t="array" ref="M4">_xlfn.CONCAT(MAX(IF($D$4:$D$16=$K4,F$4:F$16)),"시간")</f>
        <v>8시간</v>
      </c>
    </row>
    <row r="5" spans="2:13" x14ac:dyDescent="0.3">
      <c r="B5" s="11" t="s">
        <v>123</v>
      </c>
      <c r="C5" s="14">
        <v>43952</v>
      </c>
      <c r="D5" s="11" t="s">
        <v>108</v>
      </c>
      <c r="E5" s="11">
        <v>60</v>
      </c>
      <c r="F5" s="11">
        <v>2</v>
      </c>
      <c r="G5" s="12">
        <f t="shared" ref="G5:G16" ca="1" si="0">SUMPRODUCT(E5:F5,OFFSET($B$19,MATCH(D5,$B$20:$B$21,0),1,1,2))</f>
        <v>736000</v>
      </c>
      <c r="H5" s="12" t="str">
        <f t="shared" ref="H5:H16" si="1">IF(AND(D5="주말",OR(YEAR(C5)&lt;=2020,E5&gt;=110)),"지급","")</f>
        <v>지급</v>
      </c>
      <c r="I5" s="11" t="str" cm="1">
        <f t="array" ref="I5">fn비고(C5)</f>
        <v>정직원 상담</v>
      </c>
      <c r="K5" s="11" t="s">
        <v>112</v>
      </c>
      <c r="L5" s="11" t="str">
        <f t="array" ref="L5">_xlfn.CONCAT(MAX(IF($D$4:$D$16=$K5,E$4:E$16)),"시간")</f>
        <v>68시간</v>
      </c>
      <c r="M5" s="11" t="str">
        <f t="array" ref="M5">_xlfn.CONCAT(MAX(IF($D$4:$D$16=$K5,F$4:F$16)),"시간")</f>
        <v>4시간</v>
      </c>
    </row>
    <row r="6" spans="2:13" x14ac:dyDescent="0.3">
      <c r="B6" s="11" t="s">
        <v>124</v>
      </c>
      <c r="C6" s="14">
        <v>44275</v>
      </c>
      <c r="D6" s="11" t="s">
        <v>107</v>
      </c>
      <c r="E6" s="11">
        <v>100</v>
      </c>
      <c r="F6" s="11">
        <v>8</v>
      </c>
      <c r="G6" s="12">
        <f t="shared" ca="1" si="0"/>
        <v>1148000</v>
      </c>
      <c r="H6" s="12" t="str">
        <f t="shared" si="1"/>
        <v/>
      </c>
      <c r="I6" s="11" t="str" cm="1">
        <f t="array" ref="I6">fn비고(C6)</f>
        <v/>
      </c>
    </row>
    <row r="7" spans="2:13" x14ac:dyDescent="0.3">
      <c r="B7" s="11" t="s">
        <v>125</v>
      </c>
      <c r="C7" s="14">
        <v>43718</v>
      </c>
      <c r="D7" s="11" t="s">
        <v>109</v>
      </c>
      <c r="E7" s="11">
        <v>105</v>
      </c>
      <c r="F7" s="11">
        <v>7</v>
      </c>
      <c r="G7" s="12">
        <f t="shared" ca="1" si="0"/>
        <v>1197000</v>
      </c>
      <c r="H7" s="12" t="str">
        <f t="shared" si="1"/>
        <v/>
      </c>
      <c r="I7" s="11" t="str" cm="1">
        <f t="array" ref="I7">fn비고(C7)</f>
        <v>정직원 상담</v>
      </c>
    </row>
    <row r="8" spans="2:13" x14ac:dyDescent="0.3">
      <c r="B8" s="11" t="s">
        <v>126</v>
      </c>
      <c r="C8" s="14">
        <v>43835</v>
      </c>
      <c r="D8" s="11" t="s">
        <v>110</v>
      </c>
      <c r="E8" s="11">
        <v>55</v>
      </c>
      <c r="F8" s="11">
        <v>4</v>
      </c>
      <c r="G8" s="12">
        <f t="shared" ca="1" si="0"/>
        <v>692000</v>
      </c>
      <c r="H8" s="12" t="str">
        <f t="shared" si="1"/>
        <v>지급</v>
      </c>
      <c r="I8" s="11" t="str" cm="1">
        <f t="array" ref="I8">fn비고(C8)</f>
        <v>정직원 상담</v>
      </c>
      <c r="K8" s="9" t="s">
        <v>140</v>
      </c>
    </row>
    <row r="9" spans="2:13" x14ac:dyDescent="0.3">
      <c r="B9" s="11" t="s">
        <v>127</v>
      </c>
      <c r="C9" s="14">
        <v>44713</v>
      </c>
      <c r="D9" s="11" t="s">
        <v>111</v>
      </c>
      <c r="E9" s="11">
        <v>90</v>
      </c>
      <c r="F9" s="11">
        <v>0</v>
      </c>
      <c r="G9" s="12">
        <f t="shared" ca="1" si="0"/>
        <v>990000</v>
      </c>
      <c r="H9" s="12" t="str">
        <f t="shared" si="1"/>
        <v/>
      </c>
      <c r="I9" s="11" t="str" cm="1">
        <f t="array" ref="I9">fn비고(C9)</f>
        <v/>
      </c>
      <c r="K9" s="16" t="s">
        <v>141</v>
      </c>
      <c r="L9" s="16" t="s">
        <v>142</v>
      </c>
      <c r="M9" s="16" t="s">
        <v>143</v>
      </c>
    </row>
    <row r="10" spans="2:13" x14ac:dyDescent="0.3">
      <c r="B10" s="11" t="s">
        <v>128</v>
      </c>
      <c r="C10" s="14">
        <v>43739</v>
      </c>
      <c r="D10" s="11" t="s">
        <v>110</v>
      </c>
      <c r="E10" s="11">
        <v>65</v>
      </c>
      <c r="F10" s="11">
        <v>0</v>
      </c>
      <c r="G10" s="12">
        <f t="shared" ca="1" si="0"/>
        <v>780000</v>
      </c>
      <c r="H10" s="12" t="str">
        <f t="shared" si="1"/>
        <v>지급</v>
      </c>
      <c r="I10" s="11" t="str" cm="1">
        <f t="array" ref="I10">fn비고(C10)</f>
        <v>정직원 상담</v>
      </c>
      <c r="K10" s="15">
        <v>2019</v>
      </c>
      <c r="L10" s="15" t="str">
        <f t="array" ref="L10">TEXT(SUM((YEAR($C$4:$C$16)=$K10)*($D$4:$D$16=L$9)),"0명")</f>
        <v>1명</v>
      </c>
      <c r="M10" s="15" t="str">
        <f t="array" ref="M10">TEXT(SUM((YEAR($C$4:$C$16)=$K10)*($D$4:$D$16=M$9)),"0명")</f>
        <v>1명</v>
      </c>
    </row>
    <row r="11" spans="2:13" x14ac:dyDescent="0.3">
      <c r="B11" s="11" t="s">
        <v>129</v>
      </c>
      <c r="C11" s="14">
        <v>44145</v>
      </c>
      <c r="D11" s="11" t="s">
        <v>112</v>
      </c>
      <c r="E11" s="11">
        <v>52</v>
      </c>
      <c r="F11" s="11">
        <v>3</v>
      </c>
      <c r="G11" s="12">
        <f t="shared" ca="1" si="0"/>
        <v>648000</v>
      </c>
      <c r="H11" s="12" t="str">
        <f t="shared" si="1"/>
        <v>지급</v>
      </c>
      <c r="I11" s="11" t="str" cm="1">
        <f t="array" ref="I11">fn비고(C11)</f>
        <v>정직원 상담</v>
      </c>
      <c r="K11" s="15">
        <v>2020</v>
      </c>
      <c r="L11" s="15" t="str">
        <f t="array" ref="L11">TEXT(SUM((YEAR($C$4:$C$16)=$K11)*($D$4:$D$16=L$9)),"0명")</f>
        <v>1명</v>
      </c>
      <c r="M11" s="15" t="str">
        <f t="array" ref="M11">TEXT(SUM((YEAR($C$4:$C$16)=$K11)*($D$4:$D$16=M$9)),"0명")</f>
        <v>3명</v>
      </c>
    </row>
    <row r="12" spans="2:13" x14ac:dyDescent="0.3">
      <c r="B12" s="11" t="s">
        <v>130</v>
      </c>
      <c r="C12" s="14">
        <v>43924</v>
      </c>
      <c r="D12" s="11" t="s">
        <v>107</v>
      </c>
      <c r="E12" s="11">
        <v>102</v>
      </c>
      <c r="F12" s="11">
        <v>5</v>
      </c>
      <c r="G12" s="12">
        <f t="shared" ca="1" si="0"/>
        <v>1152000</v>
      </c>
      <c r="H12" s="12" t="str">
        <f t="shared" si="1"/>
        <v/>
      </c>
      <c r="I12" s="11" t="str" cm="1">
        <f t="array" ref="I12">fn비고(C12)</f>
        <v>정직원 상담</v>
      </c>
      <c r="K12" s="15">
        <v>2021</v>
      </c>
      <c r="L12" s="15" t="str">
        <f t="array" ref="L12">TEXT(SUM((YEAR($C$4:$C$16)=$K12)*($D$4:$D$16=L$9)),"0명")</f>
        <v>2명</v>
      </c>
      <c r="M12" s="15" t="str">
        <f t="array" ref="M12">TEXT(SUM((YEAR($C$4:$C$16)=$K12)*($D$4:$D$16=M$9)),"0명")</f>
        <v>1명</v>
      </c>
    </row>
    <row r="13" spans="2:13" x14ac:dyDescent="0.3">
      <c r="B13" s="11" t="s">
        <v>131</v>
      </c>
      <c r="C13" s="14">
        <v>44352</v>
      </c>
      <c r="D13" s="11" t="s">
        <v>113</v>
      </c>
      <c r="E13" s="11">
        <v>105</v>
      </c>
      <c r="F13" s="11">
        <v>7</v>
      </c>
      <c r="G13" s="12">
        <f t="shared" ca="1" si="0"/>
        <v>1197000</v>
      </c>
      <c r="H13" s="12" t="str">
        <f t="shared" si="1"/>
        <v/>
      </c>
      <c r="I13" s="11" t="str" cm="1">
        <f t="array" ref="I13">fn비고(C13)</f>
        <v/>
      </c>
      <c r="K13" s="15">
        <v>2022</v>
      </c>
      <c r="L13" s="15" t="str">
        <f t="array" ref="L13">TEXT(SUM((YEAR($C$4:$C$16)=$K13)*($D$4:$D$16=L$9)),"0명")</f>
        <v>3명</v>
      </c>
      <c r="M13" s="15" t="str">
        <f t="array" ref="M13">TEXT(SUM((YEAR($C$4:$C$16)=$K13)*($D$4:$D$16=M$9)),"0명")</f>
        <v>1명</v>
      </c>
    </row>
    <row r="14" spans="2:13" x14ac:dyDescent="0.3">
      <c r="B14" s="11" t="s">
        <v>132</v>
      </c>
      <c r="C14" s="14">
        <v>44602</v>
      </c>
      <c r="D14" s="11" t="s">
        <v>114</v>
      </c>
      <c r="E14" s="11">
        <v>113</v>
      </c>
      <c r="F14" s="11">
        <v>2</v>
      </c>
      <c r="G14" s="12">
        <f t="shared" ca="1" si="0"/>
        <v>1255000</v>
      </c>
      <c r="H14" s="12" t="str">
        <f t="shared" si="1"/>
        <v/>
      </c>
      <c r="I14" s="11" t="str" cm="1">
        <f t="array" ref="I14">fn비고(C14)</f>
        <v/>
      </c>
    </row>
    <row r="15" spans="2:13" x14ac:dyDescent="0.3">
      <c r="B15" s="11" t="s">
        <v>133</v>
      </c>
      <c r="C15" s="14">
        <v>44640</v>
      </c>
      <c r="D15" s="11" t="s">
        <v>112</v>
      </c>
      <c r="E15" s="11">
        <v>65</v>
      </c>
      <c r="F15" s="11">
        <v>4</v>
      </c>
      <c r="G15" s="12">
        <f t="shared" ca="1" si="0"/>
        <v>812000</v>
      </c>
      <c r="H15" s="12" t="str">
        <f t="shared" si="1"/>
        <v/>
      </c>
      <c r="I15" s="11" t="str" cm="1">
        <f t="array" ref="I15">fn비고(C15)</f>
        <v/>
      </c>
    </row>
    <row r="16" spans="2:13" x14ac:dyDescent="0.3">
      <c r="B16" s="11" t="s">
        <v>134</v>
      </c>
      <c r="C16" s="14">
        <v>44474</v>
      </c>
      <c r="D16" s="11" t="s">
        <v>115</v>
      </c>
      <c r="E16" s="11">
        <v>68</v>
      </c>
      <c r="F16" s="11">
        <v>3</v>
      </c>
      <c r="G16" s="12">
        <f t="shared" ca="1" si="0"/>
        <v>840000</v>
      </c>
      <c r="H16" s="12" t="str">
        <f t="shared" si="1"/>
        <v/>
      </c>
      <c r="I16" s="11" t="str" cm="1">
        <f t="array" ref="I16">fn비고(C16)</f>
        <v/>
      </c>
    </row>
    <row r="18" spans="2:4" x14ac:dyDescent="0.3">
      <c r="B18" s="9" t="s">
        <v>116</v>
      </c>
    </row>
    <row r="19" spans="2:4" x14ac:dyDescent="0.3">
      <c r="B19" s="10" t="s">
        <v>119</v>
      </c>
      <c r="C19" s="10" t="s">
        <v>117</v>
      </c>
      <c r="D19" s="10" t="s">
        <v>118</v>
      </c>
    </row>
    <row r="20" spans="2:4" x14ac:dyDescent="0.3">
      <c r="B20" s="11" t="s">
        <v>120</v>
      </c>
      <c r="C20" s="12">
        <v>11000</v>
      </c>
      <c r="D20" s="12">
        <v>6000</v>
      </c>
    </row>
    <row r="21" spans="2:4" x14ac:dyDescent="0.3">
      <c r="B21" s="11" t="s">
        <v>121</v>
      </c>
      <c r="C21" s="12">
        <v>12000</v>
      </c>
      <c r="D21" s="12">
        <v>8000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F9"/>
  <sheetViews>
    <sheetView workbookViewId="0">
      <selection activeCell="I32" sqref="I32"/>
    </sheetView>
  </sheetViews>
  <sheetFormatPr defaultRowHeight="16.5" x14ac:dyDescent="0.3"/>
  <cols>
    <col min="2" max="2" width="23.875" customWidth="1"/>
    <col min="3" max="6" width="13.875" customWidth="1"/>
  </cols>
  <sheetData>
    <row r="3" spans="2:6" x14ac:dyDescent="0.3">
      <c r="B3" s="19" t="s">
        <v>185</v>
      </c>
      <c r="C3" s="19" t="s">
        <v>187</v>
      </c>
    </row>
    <row r="4" spans="2:6" x14ac:dyDescent="0.3">
      <c r="B4" s="19" t="s">
        <v>186</v>
      </c>
      <c r="C4" t="s">
        <v>188</v>
      </c>
      <c r="D4" t="s">
        <v>189</v>
      </c>
      <c r="E4" t="s">
        <v>190</v>
      </c>
      <c r="F4" t="s">
        <v>181</v>
      </c>
    </row>
    <row r="5" spans="2:6" x14ac:dyDescent="0.3">
      <c r="B5" t="s">
        <v>192</v>
      </c>
      <c r="C5" s="20">
        <v>70560300</v>
      </c>
      <c r="D5" s="20">
        <v>35450000</v>
      </c>
      <c r="E5" s="20">
        <v>25900000</v>
      </c>
      <c r="F5" s="20">
        <v>131910300</v>
      </c>
    </row>
    <row r="6" spans="2:6" x14ac:dyDescent="0.3">
      <c r="B6" t="s">
        <v>193</v>
      </c>
      <c r="C6" s="20"/>
      <c r="D6" s="20">
        <v>68520000</v>
      </c>
      <c r="E6" s="20">
        <v>75250000</v>
      </c>
      <c r="F6" s="20">
        <v>143770000</v>
      </c>
    </row>
    <row r="7" spans="2:6" x14ac:dyDescent="0.3">
      <c r="B7" t="s">
        <v>194</v>
      </c>
      <c r="C7" s="20">
        <v>65120000</v>
      </c>
      <c r="D7" s="20">
        <v>90000000</v>
      </c>
      <c r="E7" s="20"/>
      <c r="F7" s="20">
        <v>155120000</v>
      </c>
    </row>
    <row r="8" spans="2:6" x14ac:dyDescent="0.3">
      <c r="B8" t="s">
        <v>191</v>
      </c>
      <c r="C8" s="20"/>
      <c r="D8" s="20">
        <v>49230000</v>
      </c>
      <c r="E8" s="20">
        <v>39760000</v>
      </c>
      <c r="F8" s="20">
        <v>88990000</v>
      </c>
    </row>
    <row r="9" spans="2:6" x14ac:dyDescent="0.3">
      <c r="B9" t="s">
        <v>181</v>
      </c>
      <c r="C9" s="20">
        <v>135680300</v>
      </c>
      <c r="D9" s="20">
        <v>243200000</v>
      </c>
      <c r="E9" s="20">
        <v>140910000</v>
      </c>
      <c r="F9" s="20">
        <v>519790300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L24"/>
  <sheetViews>
    <sheetView workbookViewId="0">
      <selection activeCell="N32" sqref="N32"/>
    </sheetView>
  </sheetViews>
  <sheetFormatPr defaultRowHeight="16.5" x14ac:dyDescent="0.3"/>
  <cols>
    <col min="2" max="2" width="11" bestFit="1" customWidth="1"/>
    <col min="5" max="5" width="2.625" customWidth="1"/>
    <col min="6" max="6" width="11" bestFit="1" customWidth="1"/>
    <col min="9" max="9" width="2.625" customWidth="1"/>
    <col min="10" max="10" width="11" bestFit="1" customWidth="1"/>
  </cols>
  <sheetData>
    <row r="2" spans="2:12" x14ac:dyDescent="0.3">
      <c r="B2" t="s">
        <v>145</v>
      </c>
      <c r="F2" t="s">
        <v>166</v>
      </c>
      <c r="J2" t="s">
        <v>167</v>
      </c>
    </row>
    <row r="3" spans="2:12" x14ac:dyDescent="0.3">
      <c r="B3" s="1" t="s">
        <v>146</v>
      </c>
      <c r="C3" s="1" t="s">
        <v>147</v>
      </c>
      <c r="D3" s="1" t="s">
        <v>148</v>
      </c>
      <c r="F3" s="1" t="s">
        <v>146</v>
      </c>
      <c r="G3" s="1" t="s">
        <v>147</v>
      </c>
      <c r="H3" s="1" t="s">
        <v>148</v>
      </c>
      <c r="J3" s="1" t="s">
        <v>146</v>
      </c>
      <c r="K3" s="1" t="s">
        <v>147</v>
      </c>
      <c r="L3" s="1" t="s">
        <v>148</v>
      </c>
    </row>
    <row r="4" spans="2:12" x14ac:dyDescent="0.3">
      <c r="B4" s="1" t="s">
        <v>150</v>
      </c>
      <c r="C4" s="8">
        <v>600</v>
      </c>
      <c r="D4" s="8">
        <v>540</v>
      </c>
      <c r="F4" s="1" t="s">
        <v>150</v>
      </c>
      <c r="G4" s="8">
        <v>600</v>
      </c>
      <c r="H4" s="8">
        <v>621</v>
      </c>
      <c r="J4" s="1" t="s">
        <v>150</v>
      </c>
      <c r="K4" s="8">
        <v>500</v>
      </c>
      <c r="L4" s="8">
        <v>487</v>
      </c>
    </row>
    <row r="5" spans="2:12" x14ac:dyDescent="0.3">
      <c r="B5" s="1" t="s">
        <v>152</v>
      </c>
      <c r="C5" s="8">
        <v>1500</v>
      </c>
      <c r="D5" s="8">
        <v>1320</v>
      </c>
      <c r="F5" s="1" t="s">
        <v>159</v>
      </c>
      <c r="G5" s="8">
        <v>1400</v>
      </c>
      <c r="H5" s="8">
        <v>1250</v>
      </c>
      <c r="J5" s="1" t="s">
        <v>152</v>
      </c>
      <c r="K5" s="8">
        <v>1000</v>
      </c>
      <c r="L5" s="8">
        <v>981</v>
      </c>
    </row>
    <row r="6" spans="2:12" x14ac:dyDescent="0.3">
      <c r="B6" s="1" t="s">
        <v>151</v>
      </c>
      <c r="C6" s="8">
        <v>1000</v>
      </c>
      <c r="D6" s="8">
        <v>1250</v>
      </c>
      <c r="F6" s="1" t="s">
        <v>158</v>
      </c>
      <c r="G6" s="8">
        <v>1200</v>
      </c>
      <c r="H6" s="8">
        <v>981</v>
      </c>
      <c r="J6" s="1" t="s">
        <v>162</v>
      </c>
      <c r="K6" s="8">
        <v>1000</v>
      </c>
      <c r="L6" s="8">
        <v>1120</v>
      </c>
    </row>
    <row r="7" spans="2:12" x14ac:dyDescent="0.3">
      <c r="B7" s="1" t="s">
        <v>153</v>
      </c>
      <c r="C7" s="8">
        <v>800</v>
      </c>
      <c r="D7" s="8">
        <v>921</v>
      </c>
      <c r="F7" s="1" t="s">
        <v>160</v>
      </c>
      <c r="G7" s="8">
        <v>800</v>
      </c>
      <c r="H7" s="8">
        <v>756</v>
      </c>
      <c r="J7" s="1" t="s">
        <v>161</v>
      </c>
      <c r="K7" s="8">
        <v>700</v>
      </c>
      <c r="L7" s="8">
        <v>782</v>
      </c>
    </row>
    <row r="8" spans="2:12" x14ac:dyDescent="0.3">
      <c r="B8" s="1" t="s">
        <v>149</v>
      </c>
      <c r="C8" s="8">
        <v>700</v>
      </c>
      <c r="D8" s="8">
        <v>658</v>
      </c>
      <c r="F8" s="1" t="s">
        <v>149</v>
      </c>
      <c r="G8" s="8">
        <v>700</v>
      </c>
      <c r="H8" s="8">
        <v>865</v>
      </c>
      <c r="J8" s="1" t="s">
        <v>155</v>
      </c>
      <c r="K8" s="8">
        <v>500</v>
      </c>
      <c r="L8" s="8">
        <v>433</v>
      </c>
    </row>
    <row r="10" spans="2:12" x14ac:dyDescent="0.3">
      <c r="B10" t="s">
        <v>168</v>
      </c>
      <c r="F10" t="s">
        <v>169</v>
      </c>
      <c r="J10" t="s">
        <v>170</v>
      </c>
    </row>
    <row r="11" spans="2:12" x14ac:dyDescent="0.3">
      <c r="B11" s="1" t="s">
        <v>146</v>
      </c>
      <c r="C11" s="1" t="s">
        <v>147</v>
      </c>
      <c r="D11" s="1" t="s">
        <v>148</v>
      </c>
      <c r="F11" s="1" t="s">
        <v>146</v>
      </c>
      <c r="G11" s="1" t="s">
        <v>147</v>
      </c>
      <c r="H11" s="1" t="s">
        <v>148</v>
      </c>
      <c r="J11" s="1" t="s">
        <v>146</v>
      </c>
      <c r="K11" s="1" t="s">
        <v>147</v>
      </c>
      <c r="L11" s="1" t="s">
        <v>148</v>
      </c>
    </row>
    <row r="12" spans="2:12" x14ac:dyDescent="0.3">
      <c r="B12" s="1" t="s">
        <v>150</v>
      </c>
      <c r="C12" s="8">
        <v>600</v>
      </c>
      <c r="D12" s="8">
        <v>674</v>
      </c>
      <c r="F12" s="1" t="s">
        <v>150</v>
      </c>
      <c r="G12" s="8">
        <v>700</v>
      </c>
      <c r="H12" s="8">
        <v>723</v>
      </c>
      <c r="J12" s="1" t="s">
        <v>150</v>
      </c>
      <c r="K12" s="8">
        <v>700</v>
      </c>
      <c r="L12" s="8">
        <v>699</v>
      </c>
    </row>
    <row r="13" spans="2:12" x14ac:dyDescent="0.3">
      <c r="B13" s="1" t="s">
        <v>152</v>
      </c>
      <c r="C13" s="8">
        <v>700</v>
      </c>
      <c r="D13" s="8">
        <v>710</v>
      </c>
      <c r="F13" s="1" t="s">
        <v>152</v>
      </c>
      <c r="G13" s="8">
        <v>700</v>
      </c>
      <c r="H13" s="8">
        <v>787</v>
      </c>
      <c r="J13" s="1" t="s">
        <v>152</v>
      </c>
      <c r="K13" s="8">
        <v>1000</v>
      </c>
      <c r="L13" s="8">
        <v>828</v>
      </c>
    </row>
    <row r="14" spans="2:12" x14ac:dyDescent="0.3">
      <c r="B14" s="1" t="s">
        <v>163</v>
      </c>
      <c r="C14" s="8">
        <v>800</v>
      </c>
      <c r="D14" s="8">
        <v>722</v>
      </c>
      <c r="F14" s="1" t="s">
        <v>151</v>
      </c>
      <c r="G14" s="8">
        <v>800</v>
      </c>
      <c r="H14" s="8">
        <v>652</v>
      </c>
      <c r="J14" s="1" t="s">
        <v>151</v>
      </c>
      <c r="K14" s="8">
        <v>700</v>
      </c>
      <c r="L14" s="8">
        <v>653</v>
      </c>
    </row>
    <row r="15" spans="2:12" x14ac:dyDescent="0.3">
      <c r="B15" s="1" t="s">
        <v>153</v>
      </c>
      <c r="C15" s="8">
        <v>500</v>
      </c>
      <c r="D15" s="8">
        <v>644</v>
      </c>
      <c r="F15" s="1" t="s">
        <v>153</v>
      </c>
      <c r="G15" s="8">
        <v>600</v>
      </c>
      <c r="H15" s="8">
        <v>584</v>
      </c>
      <c r="J15" s="1" t="s">
        <v>153</v>
      </c>
      <c r="K15" s="8">
        <v>800</v>
      </c>
      <c r="L15" s="8">
        <v>741</v>
      </c>
    </row>
    <row r="16" spans="2:12" x14ac:dyDescent="0.3">
      <c r="B16" s="1" t="s">
        <v>156</v>
      </c>
      <c r="C16" s="8">
        <v>500</v>
      </c>
      <c r="D16" s="8">
        <v>503</v>
      </c>
      <c r="F16" s="1" t="s">
        <v>164</v>
      </c>
      <c r="G16" s="8">
        <v>600</v>
      </c>
      <c r="H16" s="8">
        <v>855</v>
      </c>
      <c r="J16" s="1" t="s">
        <v>165</v>
      </c>
      <c r="K16" s="8">
        <v>800</v>
      </c>
      <c r="L16" s="8">
        <v>754</v>
      </c>
    </row>
    <row r="18" spans="2:4" x14ac:dyDescent="0.3">
      <c r="B18" t="s">
        <v>171</v>
      </c>
    </row>
    <row r="19" spans="2:4" x14ac:dyDescent="0.3">
      <c r="B19" s="1" t="s">
        <v>146</v>
      </c>
      <c r="C19" s="1" t="s">
        <v>147</v>
      </c>
      <c r="D19" s="1" t="s">
        <v>148</v>
      </c>
    </row>
    <row r="20" spans="2:4" x14ac:dyDescent="0.3">
      <c r="B20" s="1" t="s">
        <v>150</v>
      </c>
      <c r="C20" s="8">
        <v>616.66666666666663</v>
      </c>
      <c r="D20" s="8">
        <v>624</v>
      </c>
    </row>
    <row r="21" spans="2:4" x14ac:dyDescent="0.3">
      <c r="B21" s="1" t="s">
        <v>154</v>
      </c>
      <c r="C21" s="8">
        <v>1050</v>
      </c>
      <c r="D21" s="8">
        <v>979.33333333333337</v>
      </c>
    </row>
    <row r="22" spans="2:4" x14ac:dyDescent="0.3">
      <c r="B22" s="1" t="s">
        <v>151</v>
      </c>
      <c r="C22" s="8">
        <v>916.66666666666663</v>
      </c>
      <c r="D22" s="8">
        <v>896.33333333333337</v>
      </c>
    </row>
    <row r="23" spans="2:4" x14ac:dyDescent="0.3">
      <c r="B23" s="1" t="s">
        <v>157</v>
      </c>
      <c r="C23" s="8">
        <v>700</v>
      </c>
      <c r="D23" s="8">
        <v>738</v>
      </c>
    </row>
    <row r="24" spans="2:4" x14ac:dyDescent="0.3">
      <c r="B24" s="1" t="s">
        <v>156</v>
      </c>
      <c r="C24" s="8">
        <v>633.33333333333337</v>
      </c>
      <c r="D24" s="8">
        <v>678</v>
      </c>
    </row>
  </sheetData>
  <sortState xmlns:xlrd2="http://schemas.microsoft.com/office/spreadsheetml/2017/richdata2" ref="J12:L16">
    <sortCondition ref="J12:J16" customList="CPU,RAM,SSD,메인보드,그래픽카드"/>
  </sortState>
  <dataConsolidate function="average" topLabels="1">
    <dataRefs count="6">
      <dataRef ref="C3:D8" sheet="분석작업-2"/>
      <dataRef ref="G3:H8" sheet="분석작업-2"/>
      <dataRef ref="K3:L8" sheet="분석작업-2"/>
      <dataRef ref="C11:D16" sheet="분석작업-2"/>
      <dataRef ref="G11:H16" sheet="분석작업-2"/>
      <dataRef ref="K11:L16" sheet="분석작업-2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F8"/>
  <sheetViews>
    <sheetView tabSelected="1" topLeftCell="A9" workbookViewId="0">
      <selection activeCell="L31" sqref="L31"/>
    </sheetView>
  </sheetViews>
  <sheetFormatPr defaultRowHeight="16.5" x14ac:dyDescent="0.3"/>
  <cols>
    <col min="2" max="2" width="11" bestFit="1" customWidth="1"/>
    <col min="5" max="5" width="10.875" bestFit="1" customWidth="1"/>
  </cols>
  <sheetData>
    <row r="1" spans="2:6" ht="20.25" x14ac:dyDescent="0.3">
      <c r="B1" s="23" t="s">
        <v>177</v>
      </c>
      <c r="C1" s="23"/>
      <c r="D1" s="23"/>
      <c r="E1" s="23"/>
      <c r="F1" s="23"/>
    </row>
    <row r="3" spans="2:6" x14ac:dyDescent="0.3">
      <c r="B3" s="1" t="s">
        <v>172</v>
      </c>
      <c r="C3" s="1" t="s">
        <v>173</v>
      </c>
      <c r="D3" s="1" t="s">
        <v>174</v>
      </c>
      <c r="E3" s="1" t="s">
        <v>175</v>
      </c>
      <c r="F3" s="1" t="s">
        <v>176</v>
      </c>
    </row>
    <row r="4" spans="2:6" x14ac:dyDescent="0.3">
      <c r="B4" s="1" t="s">
        <v>151</v>
      </c>
      <c r="C4" s="8">
        <v>2500</v>
      </c>
      <c r="D4" s="8">
        <v>1257</v>
      </c>
      <c r="E4" s="8">
        <v>254000</v>
      </c>
      <c r="F4" s="18">
        <f>D4/C4</f>
        <v>0.50280000000000002</v>
      </c>
    </row>
    <row r="5" spans="2:6" x14ac:dyDescent="0.3">
      <c r="B5" s="1" t="s">
        <v>178</v>
      </c>
      <c r="C5" s="8">
        <v>3400</v>
      </c>
      <c r="D5" s="8">
        <v>2670</v>
      </c>
      <c r="E5" s="8">
        <v>82000</v>
      </c>
      <c r="F5" s="18">
        <f t="shared" ref="F5:F8" si="0">D5/C5</f>
        <v>0.78529411764705881</v>
      </c>
    </row>
    <row r="6" spans="2:6" x14ac:dyDescent="0.3">
      <c r="B6" s="1" t="s">
        <v>150</v>
      </c>
      <c r="C6" s="8">
        <v>4200</v>
      </c>
      <c r="D6" s="8">
        <v>3401</v>
      </c>
      <c r="E6" s="8">
        <v>326000</v>
      </c>
      <c r="F6" s="18">
        <f t="shared" si="0"/>
        <v>0.80976190476190479</v>
      </c>
    </row>
    <row r="7" spans="2:6" x14ac:dyDescent="0.3">
      <c r="B7" s="1" t="s">
        <v>179</v>
      </c>
      <c r="C7" s="8">
        <v>5600</v>
      </c>
      <c r="D7" s="8">
        <v>5014</v>
      </c>
      <c r="E7" s="8">
        <v>756000</v>
      </c>
      <c r="F7" s="18">
        <f t="shared" si="0"/>
        <v>0.89535714285714285</v>
      </c>
    </row>
    <row r="8" spans="2:6" x14ac:dyDescent="0.3">
      <c r="B8" s="1" t="s">
        <v>180</v>
      </c>
      <c r="C8" s="8">
        <v>3800</v>
      </c>
      <c r="D8" s="8">
        <v>3274</v>
      </c>
      <c r="E8" s="8">
        <v>76000</v>
      </c>
      <c r="F8" s="18">
        <f t="shared" si="0"/>
        <v>0.861578947368421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F16"/>
  <sheetViews>
    <sheetView workbookViewId="0">
      <selection activeCell="C25" sqref="C25"/>
    </sheetView>
  </sheetViews>
  <sheetFormatPr defaultRowHeight="16.5" x14ac:dyDescent="0.3"/>
  <cols>
    <col min="2" max="3" width="11.5" customWidth="1"/>
    <col min="4" max="6" width="16.5" customWidth="1"/>
  </cols>
  <sheetData>
    <row r="1" spans="2:6" ht="26.25" x14ac:dyDescent="0.3">
      <c r="B1" s="24" t="s">
        <v>200</v>
      </c>
      <c r="C1" s="24"/>
      <c r="D1" s="24"/>
      <c r="E1" s="24"/>
      <c r="F1" s="24"/>
    </row>
    <row r="3" spans="2:6" x14ac:dyDescent="0.3">
      <c r="B3" s="4" t="s">
        <v>195</v>
      </c>
      <c r="C3" s="4" t="s">
        <v>196</v>
      </c>
      <c r="D3" s="4" t="s">
        <v>201</v>
      </c>
      <c r="E3" s="4" t="s">
        <v>197</v>
      </c>
      <c r="F3" s="4" t="s">
        <v>198</v>
      </c>
    </row>
    <row r="4" spans="2:6" x14ac:dyDescent="0.3">
      <c r="B4" s="1" t="s">
        <v>202</v>
      </c>
      <c r="C4" s="1" t="s">
        <v>203</v>
      </c>
      <c r="D4" s="5">
        <v>713</v>
      </c>
      <c r="E4" s="5">
        <v>1074</v>
      </c>
      <c r="F4" s="5">
        <v>1254</v>
      </c>
    </row>
    <row r="5" spans="2:6" x14ac:dyDescent="0.3">
      <c r="B5" s="1" t="s">
        <v>204</v>
      </c>
      <c r="C5" s="1" t="s">
        <v>205</v>
      </c>
      <c r="D5" s="5">
        <v>1362</v>
      </c>
      <c r="E5" s="5">
        <v>1599</v>
      </c>
      <c r="F5" s="5">
        <v>1602</v>
      </c>
    </row>
    <row r="6" spans="2:6" x14ac:dyDescent="0.3">
      <c r="B6" s="1" t="s">
        <v>206</v>
      </c>
      <c r="C6" s="1" t="s">
        <v>207</v>
      </c>
      <c r="D6" s="5">
        <v>2260</v>
      </c>
      <c r="E6" s="5">
        <v>2833</v>
      </c>
      <c r="F6" s="5">
        <v>2120</v>
      </c>
    </row>
    <row r="7" spans="2:6" x14ac:dyDescent="0.3">
      <c r="B7" s="1" t="s">
        <v>199</v>
      </c>
      <c r="C7" s="1" t="s">
        <v>208</v>
      </c>
      <c r="D7" s="5">
        <v>934</v>
      </c>
      <c r="E7" s="5">
        <v>1135</v>
      </c>
      <c r="F7" s="5">
        <v>2531</v>
      </c>
    </row>
    <row r="8" spans="2:6" x14ac:dyDescent="0.3">
      <c r="B8" s="1" t="s">
        <v>209</v>
      </c>
      <c r="C8" s="1" t="s">
        <v>210</v>
      </c>
      <c r="D8" s="5">
        <v>837</v>
      </c>
      <c r="E8" s="5">
        <v>1268</v>
      </c>
      <c r="F8" s="5">
        <v>2421</v>
      </c>
    </row>
    <row r="9" spans="2:6" x14ac:dyDescent="0.3">
      <c r="B9" s="1" t="s">
        <v>211</v>
      </c>
      <c r="C9" s="1" t="s">
        <v>212</v>
      </c>
      <c r="D9" s="5">
        <v>522</v>
      </c>
      <c r="E9" s="5">
        <v>545</v>
      </c>
      <c r="F9" s="5">
        <v>1266</v>
      </c>
    </row>
    <row r="10" spans="2:6" x14ac:dyDescent="0.3">
      <c r="B10" s="1" t="s">
        <v>213</v>
      </c>
      <c r="C10" s="1" t="s">
        <v>214</v>
      </c>
      <c r="D10" s="5">
        <v>1074</v>
      </c>
      <c r="E10" s="5">
        <v>1054</v>
      </c>
      <c r="F10" s="5">
        <v>1890</v>
      </c>
    </row>
    <row r="11" spans="2:6" x14ac:dyDescent="0.3">
      <c r="B11" s="1" t="s">
        <v>215</v>
      </c>
      <c r="C11" s="1" t="s">
        <v>216</v>
      </c>
      <c r="D11" s="5">
        <v>1048</v>
      </c>
      <c r="E11" s="5">
        <v>1086</v>
      </c>
      <c r="F11" s="5">
        <v>1020</v>
      </c>
    </row>
    <row r="12" spans="2:6" x14ac:dyDescent="0.3">
      <c r="B12" s="1" t="s">
        <v>217</v>
      </c>
      <c r="C12" s="1" t="s">
        <v>218</v>
      </c>
      <c r="D12" s="5">
        <v>1087</v>
      </c>
      <c r="E12" s="5">
        <v>945</v>
      </c>
      <c r="F12" s="5">
        <v>1099</v>
      </c>
    </row>
    <row r="13" spans="2:6" x14ac:dyDescent="0.3">
      <c r="B13" s="1" t="s">
        <v>219</v>
      </c>
      <c r="C13" s="1" t="s">
        <v>220</v>
      </c>
      <c r="D13" s="5">
        <v>1002</v>
      </c>
      <c r="E13" s="5">
        <v>498</v>
      </c>
      <c r="F13" s="5">
        <v>324</v>
      </c>
    </row>
    <row r="14" spans="2:6" x14ac:dyDescent="0.3">
      <c r="B14" s="1" t="s">
        <v>221</v>
      </c>
      <c r="C14" s="1" t="s">
        <v>222</v>
      </c>
      <c r="D14" s="5">
        <v>888</v>
      </c>
      <c r="E14" s="5">
        <v>1037</v>
      </c>
      <c r="F14" s="5">
        <v>1434</v>
      </c>
    </row>
    <row r="15" spans="2:6" x14ac:dyDescent="0.3">
      <c r="B15" s="1" t="s">
        <v>223</v>
      </c>
      <c r="C15" s="1" t="s">
        <v>224</v>
      </c>
      <c r="D15" s="5">
        <v>474</v>
      </c>
      <c r="E15" s="5">
        <v>189</v>
      </c>
      <c r="F15" s="5">
        <v>117</v>
      </c>
    </row>
    <row r="16" spans="2:6" x14ac:dyDescent="0.3">
      <c r="B16" s="1" t="s">
        <v>225</v>
      </c>
      <c r="C16" s="1" t="s">
        <v>226</v>
      </c>
      <c r="D16" s="5">
        <v>110</v>
      </c>
      <c r="E16" s="5">
        <v>617</v>
      </c>
      <c r="F16" s="5">
        <v>685</v>
      </c>
    </row>
  </sheetData>
  <mergeCells count="1">
    <mergeCell ref="B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서식해제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3:I26"/>
  <sheetViews>
    <sheetView workbookViewId="0">
      <selection activeCell="B1" sqref="B1"/>
    </sheetView>
  </sheetViews>
  <sheetFormatPr defaultRowHeight="16.5" x14ac:dyDescent="0.3"/>
  <cols>
    <col min="1" max="1" width="3.5" customWidth="1"/>
    <col min="2" max="2" width="14.125" customWidth="1"/>
    <col min="8" max="8" width="2.875" customWidth="1"/>
    <col min="9" max="9" width="14.125" customWidth="1"/>
  </cols>
  <sheetData>
    <row r="3" spans="2:9" x14ac:dyDescent="0.3">
      <c r="B3" s="22" t="s">
        <v>228</v>
      </c>
    </row>
    <row r="4" spans="2:9" x14ac:dyDescent="0.3">
      <c r="B4" s="1" t="s">
        <v>230</v>
      </c>
      <c r="C4" s="1" t="s">
        <v>231</v>
      </c>
      <c r="D4" s="1" t="s">
        <v>232</v>
      </c>
      <c r="E4" s="1" t="s">
        <v>183</v>
      </c>
      <c r="F4" s="1" t="s">
        <v>184</v>
      </c>
      <c r="G4" s="1" t="s">
        <v>233</v>
      </c>
      <c r="I4" s="1" t="s">
        <v>229</v>
      </c>
    </row>
    <row r="5" spans="2:9" x14ac:dyDescent="0.3">
      <c r="B5" s="1" t="s">
        <v>237</v>
      </c>
      <c r="C5" s="1" t="s">
        <v>182</v>
      </c>
      <c r="D5" s="1">
        <v>120</v>
      </c>
      <c r="E5" s="1">
        <v>250</v>
      </c>
      <c r="F5" s="1">
        <v>189</v>
      </c>
      <c r="G5" s="1">
        <v>559</v>
      </c>
      <c r="I5" s="1" t="s">
        <v>150</v>
      </c>
    </row>
    <row r="6" spans="2:9" x14ac:dyDescent="0.3">
      <c r="B6" s="1"/>
      <c r="C6" s="1"/>
      <c r="D6" s="1"/>
      <c r="E6" s="1"/>
      <c r="F6" s="1"/>
      <c r="G6" s="1"/>
      <c r="I6" s="1" t="s">
        <v>149</v>
      </c>
    </row>
    <row r="7" spans="2:9" x14ac:dyDescent="0.3">
      <c r="B7" s="1"/>
      <c r="C7" s="1"/>
      <c r="D7" s="1"/>
      <c r="E7" s="1"/>
      <c r="F7" s="1"/>
      <c r="G7" s="1"/>
      <c r="I7" s="1" t="s">
        <v>152</v>
      </c>
    </row>
    <row r="8" spans="2:9" x14ac:dyDescent="0.3">
      <c r="B8" s="1"/>
      <c r="C8" s="1"/>
      <c r="D8" s="1"/>
      <c r="E8" s="1"/>
      <c r="F8" s="1"/>
      <c r="G8" s="1"/>
      <c r="I8" s="1" t="s">
        <v>153</v>
      </c>
    </row>
    <row r="9" spans="2:9" x14ac:dyDescent="0.3">
      <c r="B9" s="1"/>
      <c r="C9" s="1"/>
      <c r="D9" s="1"/>
      <c r="E9" s="1"/>
      <c r="F9" s="1"/>
      <c r="G9" s="1"/>
      <c r="I9" s="1" t="s">
        <v>234</v>
      </c>
    </row>
    <row r="10" spans="2:9" x14ac:dyDescent="0.3">
      <c r="B10" s="1"/>
      <c r="C10" s="1"/>
      <c r="D10" s="1"/>
      <c r="E10" s="1"/>
      <c r="F10" s="1"/>
      <c r="G10" s="1"/>
      <c r="I10" s="1" t="s">
        <v>235</v>
      </c>
    </row>
    <row r="11" spans="2:9" x14ac:dyDescent="0.3">
      <c r="B11" s="1"/>
      <c r="C11" s="1"/>
      <c r="D11" s="1"/>
      <c r="E11" s="1"/>
      <c r="F11" s="1"/>
      <c r="G11" s="1"/>
      <c r="I11" s="1" t="s">
        <v>151</v>
      </c>
    </row>
    <row r="12" spans="2:9" x14ac:dyDescent="0.3">
      <c r="B12" s="1"/>
      <c r="C12" s="1"/>
      <c r="D12" s="1"/>
      <c r="E12" s="1"/>
      <c r="F12" s="1"/>
      <c r="G12" s="1"/>
      <c r="I12" s="1" t="s">
        <v>236</v>
      </c>
    </row>
    <row r="13" spans="2:9" x14ac:dyDescent="0.3">
      <c r="B13" s="1"/>
      <c r="C13" s="1"/>
      <c r="D13" s="1"/>
      <c r="E13" s="1"/>
      <c r="F13" s="1"/>
      <c r="G13" s="1"/>
    </row>
    <row r="14" spans="2:9" x14ac:dyDescent="0.3">
      <c r="B14" s="1"/>
      <c r="C14" s="1"/>
      <c r="D14" s="1"/>
      <c r="E14" s="1"/>
      <c r="F14" s="1"/>
      <c r="G14" s="1"/>
    </row>
    <row r="15" spans="2:9" x14ac:dyDescent="0.3">
      <c r="B15" s="1"/>
      <c r="C15" s="1"/>
      <c r="D15" s="1"/>
      <c r="E15" s="1"/>
      <c r="F15" s="1"/>
      <c r="G15" s="1"/>
    </row>
    <row r="16" spans="2:9" x14ac:dyDescent="0.3">
      <c r="B16" s="1"/>
      <c r="C16" s="1"/>
      <c r="D16" s="1"/>
      <c r="E16" s="1"/>
      <c r="F16" s="1"/>
      <c r="G16" s="1"/>
    </row>
    <row r="17" spans="2:7" x14ac:dyDescent="0.3">
      <c r="B17" s="1"/>
      <c r="C17" s="1"/>
      <c r="D17" s="1"/>
      <c r="E17" s="1"/>
      <c r="F17" s="1"/>
      <c r="G17" s="1"/>
    </row>
    <row r="18" spans="2:7" x14ac:dyDescent="0.3">
      <c r="B18" s="1"/>
      <c r="C18" s="1"/>
      <c r="D18" s="1"/>
      <c r="E18" s="1"/>
      <c r="F18" s="1"/>
      <c r="G18" s="1"/>
    </row>
    <row r="19" spans="2:7" x14ac:dyDescent="0.3">
      <c r="B19" s="1"/>
      <c r="C19" s="1"/>
      <c r="D19" s="1"/>
      <c r="E19" s="1"/>
      <c r="F19" s="1"/>
      <c r="G19" s="1"/>
    </row>
    <row r="20" spans="2:7" x14ac:dyDescent="0.3">
      <c r="B20" s="1"/>
      <c r="C20" s="1"/>
      <c r="D20" s="1"/>
      <c r="E20" s="1"/>
      <c r="F20" s="1"/>
      <c r="G20" s="1"/>
    </row>
    <row r="21" spans="2:7" x14ac:dyDescent="0.3">
      <c r="B21" s="1"/>
      <c r="C21" s="1"/>
      <c r="D21" s="1"/>
      <c r="E21" s="1"/>
      <c r="F21" s="1"/>
      <c r="G21" s="1"/>
    </row>
    <row r="22" spans="2:7" x14ac:dyDescent="0.3">
      <c r="B22" s="1"/>
      <c r="C22" s="1"/>
      <c r="D22" s="1"/>
      <c r="E22" s="1"/>
      <c r="F22" s="1"/>
      <c r="G22" s="1"/>
    </row>
    <row r="23" spans="2:7" x14ac:dyDescent="0.3">
      <c r="B23" s="1"/>
      <c r="C23" s="1"/>
      <c r="D23" s="1"/>
      <c r="E23" s="1"/>
      <c r="F23" s="1"/>
      <c r="G23" s="1"/>
    </row>
    <row r="24" spans="2:7" x14ac:dyDescent="0.3">
      <c r="B24" s="1"/>
      <c r="C24" s="1"/>
      <c r="D24" s="1"/>
      <c r="E24" s="1"/>
      <c r="F24" s="1"/>
      <c r="G24" s="1"/>
    </row>
    <row r="25" spans="2:7" x14ac:dyDescent="0.3">
      <c r="B25" s="1"/>
      <c r="C25" s="1"/>
      <c r="D25" s="1"/>
      <c r="E25" s="1"/>
      <c r="F25" s="1"/>
      <c r="G25" s="1"/>
    </row>
    <row r="26" spans="2:7" x14ac:dyDescent="0.3">
      <c r="B26" s="1"/>
      <c r="C26" s="1"/>
      <c r="D26" s="1"/>
      <c r="E26" s="1"/>
      <c r="F26" s="1"/>
      <c r="G26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입력">
          <controlPr defaultSize="0" autoLine="0" r:id="rId4">
            <anchor moveWithCells="1">
              <from>
                <xdr:col>4</xdr:col>
                <xdr:colOff>409575</xdr:colOff>
                <xdr:row>0</xdr:row>
                <xdr:rowOff>95250</xdr:rowOff>
              </from>
              <to>
                <xdr:col>6</xdr:col>
                <xdr:colOff>371475</xdr:colOff>
                <xdr:row>2</xdr:row>
                <xdr:rowOff>47625</xdr:rowOff>
              </to>
            </anchor>
          </controlPr>
        </control>
      </mc:Choice>
      <mc:Fallback>
        <control shapeId="9217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컨버전스 디지털</cp:lastModifiedBy>
  <cp:lastPrinted>2022-10-18T14:13:33Z</cp:lastPrinted>
  <dcterms:created xsi:type="dcterms:W3CDTF">2022-10-04T13:14:06Z</dcterms:created>
  <dcterms:modified xsi:type="dcterms:W3CDTF">2024-03-12T09:36:09Z</dcterms:modified>
</cp:coreProperties>
</file>