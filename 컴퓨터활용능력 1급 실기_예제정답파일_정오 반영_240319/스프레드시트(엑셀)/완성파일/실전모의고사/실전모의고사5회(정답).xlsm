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실전모의고사\"/>
    </mc:Choice>
  </mc:AlternateContent>
  <xr:revisionPtr revIDLastSave="0" documentId="13_ncr:1_{674B4DFD-6AD1-4B81-AC95-7875597160B0}" xr6:coauthVersionLast="47" xr6:coauthVersionMax="47" xr10:uidLastSave="{00000000-0000-0000-0000-000000000000}"/>
  <bookViews>
    <workbookView xWindow="1500" yWindow="510" windowWidth="23325" windowHeight="14685" tabRatio="973" activeTab="5" xr2:uid="{00000000-000D-0000-FFFF-FFFF00000000}"/>
  </bookViews>
  <sheets>
    <sheet name="기본작업-1" sheetId="1" r:id="rId1"/>
    <sheet name="기본작업-2" sheetId="14" r:id="rId2"/>
    <sheet name="계산작업" sheetId="2" r:id="rId3"/>
    <sheet name="분석작업-1" sheetId="4" r:id="rId4"/>
    <sheet name="분석작업-2" sheetId="8" r:id="rId5"/>
    <sheet name="Chart1" sheetId="16" r:id="rId6"/>
    <sheet name="기타작업-1" sheetId="11" r:id="rId7"/>
    <sheet name="기타작업-2" sheetId="15" r:id="rId8"/>
    <sheet name="기타작업-3" sheetId="9" r:id="rId9"/>
  </sheets>
  <functionGroups builtInGroupCount="19"/>
  <externalReferences>
    <externalReference r:id="rId10"/>
  </externalReferences>
  <definedNames>
    <definedName name="_xlnm._FilterDatabase" localSheetId="2" hidden="1">계산작업!$B$2:$J$20</definedName>
    <definedName name="_xlnm._FilterDatabase" localSheetId="0" hidden="1">'기본작업-1'!$B$3:$I$18</definedName>
    <definedName name="_xlnm._FilterDatabase" localSheetId="1" hidden="1">'기본작업-2'!$B$3:$I$18</definedName>
    <definedName name="_xlnm._FilterDatabase" localSheetId="4" hidden="1">'분석작업-2'!$B$4:$H$21</definedName>
    <definedName name="_xlnm.Criteria" localSheetId="0">'기본작업-1'!$B$20:$B$21</definedName>
    <definedName name="_xlnm.Criteria" localSheetId="1">'기본작업-2'!#REF!</definedName>
    <definedName name="_xlnm.Extract" localSheetId="0">'기본작업-1'!$B$23:$F$23</definedName>
    <definedName name="_xlnm.Extract" localSheetId="1">'기본작업-2'!#REF!</definedName>
    <definedName name="_xlnm.Print_Area" localSheetId="1">'기본작업-2'!$B$3:$I$18</definedName>
  </definedNames>
  <calcPr calcId="191029"/>
  <pivotCaches>
    <pivotCache cacheId="3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3" i="2"/>
  <c r="B21" i="1"/>
  <c r="H21" i="8" l="1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I25" i="2" l="1" a="1"/>
  <c r="I25" i="2" s="1"/>
  <c r="J25" i="2" a="1"/>
  <c r="J25" i="2" s="1"/>
  <c r="I26" i="2" a="1"/>
  <c r="I26" i="2" s="1"/>
  <c r="J26" i="2" a="1"/>
  <c r="J26" i="2" s="1"/>
  <c r="I27" i="2" a="1"/>
  <c r="I27" i="2" s="1"/>
  <c r="J27" i="2" a="1"/>
  <c r="J27" i="2" s="1"/>
  <c r="I28" i="2" a="1"/>
  <c r="I28" i="2" s="1"/>
  <c r="J28" i="2" a="1"/>
  <c r="J28" i="2" s="1"/>
  <c r="I29" i="2" a="1"/>
  <c r="I29" i="2" s="1"/>
  <c r="J29" i="2" a="1"/>
  <c r="J29" i="2" s="1"/>
  <c r="H26" i="2" a="1"/>
  <c r="H26" i="2" s="1"/>
  <c r="H27" i="2" a="1"/>
  <c r="H27" i="2" s="1"/>
  <c r="H28" i="2" a="1"/>
  <c r="H28" i="2" s="1"/>
  <c r="H29" i="2" a="1"/>
  <c r="H29" i="2" s="1"/>
  <c r="H25" i="2" a="1"/>
  <c r="H25" i="2" s="1"/>
  <c r="C25" i="2" a="1"/>
  <c r="C25" i="2" s="1"/>
  <c r="C26" i="2" a="1"/>
  <c r="C26" i="2" s="1"/>
  <c r="C27" i="2" a="1"/>
  <c r="C27" i="2" s="1"/>
  <c r="C28" i="2" a="1"/>
  <c r="C28" i="2" s="1"/>
  <c r="C24" i="2" l="1" a="1"/>
  <c r="C24" i="2" s="1"/>
  <c r="J12" i="2"/>
  <c r="J10" i="2"/>
  <c r="J3" i="2"/>
  <c r="J4" i="2"/>
  <c r="J13" i="2"/>
  <c r="J7" i="2"/>
  <c r="J14" i="2"/>
  <c r="J20" i="2"/>
  <c r="J18" i="2"/>
  <c r="J9" i="2"/>
  <c r="J19" i="2"/>
  <c r="J11" i="2"/>
  <c r="J8" i="2"/>
  <c r="J16" i="2"/>
  <c r="J5" i="2"/>
  <c r="J15" i="2"/>
  <c r="J17" i="2"/>
  <c r="J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성적관리.accdb;DefaultDir=C:\OA;DriverId=25;FIL=MS Access;MaxBufferSize=2048;PageTimeout=5;" command="SELECT 성적.학번, 성적.성명, 성적.학년, 성적.평점환산, 성적.어학테스트, 성적.면접_x000d__x000a_FROM `C:\OA\성적관리.accdb`.성적 성적"/>
  </connection>
</connections>
</file>

<file path=xl/sharedStrings.xml><?xml version="1.0" encoding="utf-8"?>
<sst xmlns="http://schemas.openxmlformats.org/spreadsheetml/2006/main" count="501" uniqueCount="168">
  <si>
    <t>사번</t>
  </si>
  <si>
    <t>성명</t>
  </si>
  <si>
    <t>부서</t>
  </si>
  <si>
    <t>성별</t>
  </si>
  <si>
    <t>직위</t>
  </si>
  <si>
    <t>1차고과</t>
  </si>
  <si>
    <t>2차고과</t>
  </si>
  <si>
    <t>승진시험</t>
  </si>
  <si>
    <t>경리과</t>
  </si>
  <si>
    <t>남</t>
  </si>
  <si>
    <t>사원</t>
  </si>
  <si>
    <t>기술지원부</t>
  </si>
  <si>
    <t>영업2부</t>
  </si>
  <si>
    <t>여</t>
  </si>
  <si>
    <t>주임</t>
  </si>
  <si>
    <t>영업3부</t>
  </si>
  <si>
    <t>인사부</t>
  </si>
  <si>
    <t>총무부</t>
  </si>
  <si>
    <t>이원섭</t>
  </si>
  <si>
    <t>회계과</t>
  </si>
  <si>
    <t>승진시험</t>
    <phoneticPr fontId="2" type="noConversion"/>
  </si>
  <si>
    <t>인원수</t>
    <phoneticPr fontId="2" type="noConversion"/>
  </si>
  <si>
    <t>구분</t>
    <phoneticPr fontId="2" type="noConversion"/>
  </si>
  <si>
    <t>총무부</t>
    <phoneticPr fontId="2" type="noConversion"/>
  </si>
  <si>
    <t>영업부</t>
    <phoneticPr fontId="2" type="noConversion"/>
  </si>
  <si>
    <t>인사부</t>
    <phoneticPr fontId="2" type="noConversion"/>
  </si>
  <si>
    <t>기술지원부</t>
    <phoneticPr fontId="2" type="noConversion"/>
  </si>
  <si>
    <t>직위</t>
    <phoneticPr fontId="2" type="noConversion"/>
  </si>
  <si>
    <t>과장</t>
    <phoneticPr fontId="2" type="noConversion"/>
  </si>
  <si>
    <t>부장</t>
    <phoneticPr fontId="2" type="noConversion"/>
  </si>
  <si>
    <t>주임</t>
    <phoneticPr fontId="2" type="noConversion"/>
  </si>
  <si>
    <t>사원</t>
    <phoneticPr fontId="2" type="noConversion"/>
  </si>
  <si>
    <t>대리</t>
    <phoneticPr fontId="2" type="noConversion"/>
  </si>
  <si>
    <t>비율</t>
    <phoneticPr fontId="2" type="noConversion"/>
  </si>
  <si>
    <t>성명</t>
    <phoneticPr fontId="2" type="noConversion"/>
  </si>
  <si>
    <t>[표1]</t>
    <phoneticPr fontId="2" type="noConversion"/>
  </si>
  <si>
    <t>[표3]</t>
    <phoneticPr fontId="2" type="noConversion"/>
  </si>
  <si>
    <t>비서실</t>
    <phoneticPr fontId="2" type="noConversion"/>
  </si>
  <si>
    <t>감사실</t>
    <phoneticPr fontId="2" type="noConversion"/>
  </si>
  <si>
    <t>팀1</t>
    <phoneticPr fontId="2" type="noConversion"/>
  </si>
  <si>
    <t>팀2</t>
    <phoneticPr fontId="2" type="noConversion"/>
  </si>
  <si>
    <t>코드</t>
    <phoneticPr fontId="2" type="noConversion"/>
  </si>
  <si>
    <t>입고</t>
    <phoneticPr fontId="2" type="noConversion"/>
  </si>
  <si>
    <t>출고</t>
    <phoneticPr fontId="2" type="noConversion"/>
  </si>
  <si>
    <t>인사</t>
    <phoneticPr fontId="2" type="noConversion"/>
  </si>
  <si>
    <t>급여</t>
    <phoneticPr fontId="2" type="noConversion"/>
  </si>
  <si>
    <t>내수</t>
    <phoneticPr fontId="2" type="noConversion"/>
  </si>
  <si>
    <t>수출</t>
    <phoneticPr fontId="2" type="noConversion"/>
  </si>
  <si>
    <t>국내</t>
    <phoneticPr fontId="2" type="noConversion"/>
  </si>
  <si>
    <t>해외</t>
    <phoneticPr fontId="2" type="noConversion"/>
  </si>
  <si>
    <t>관리</t>
    <phoneticPr fontId="2" type="noConversion"/>
  </si>
  <si>
    <t>기획</t>
    <phoneticPr fontId="2" type="noConversion"/>
  </si>
  <si>
    <t>내사</t>
    <phoneticPr fontId="2" type="noConversion"/>
  </si>
  <si>
    <t>실무</t>
    <phoneticPr fontId="2" type="noConversion"/>
  </si>
  <si>
    <t>[표5]</t>
    <phoneticPr fontId="2" type="noConversion"/>
  </si>
  <si>
    <t>최고점수자</t>
    <phoneticPr fontId="2" type="noConversion"/>
  </si>
  <si>
    <t>업무코드</t>
    <phoneticPr fontId="2" type="noConversion"/>
  </si>
  <si>
    <t>등급</t>
    <phoneticPr fontId="2" type="noConversion"/>
  </si>
  <si>
    <t>A고과</t>
    <phoneticPr fontId="2" type="noConversion"/>
  </si>
  <si>
    <t>B고과</t>
    <phoneticPr fontId="2" type="noConversion"/>
  </si>
  <si>
    <t>[표2]</t>
    <phoneticPr fontId="2" type="noConversion"/>
  </si>
  <si>
    <t>[표4]</t>
    <phoneticPr fontId="2" type="noConversion"/>
  </si>
  <si>
    <t>고과점수</t>
    <phoneticPr fontId="2" type="noConversion"/>
  </si>
  <si>
    <t>A고과</t>
    <phoneticPr fontId="2" type="noConversion"/>
  </si>
  <si>
    <t>B고과</t>
    <phoneticPr fontId="2" type="noConversion"/>
  </si>
  <si>
    <t>팀장</t>
    <phoneticPr fontId="2" type="noConversion"/>
  </si>
  <si>
    <t>성명</t>
    <phoneticPr fontId="2" type="noConversion"/>
  </si>
  <si>
    <t>부서</t>
    <phoneticPr fontId="2" type="noConversion"/>
  </si>
  <si>
    <t>직위</t>
    <phoneticPr fontId="2" type="noConversion"/>
  </si>
  <si>
    <t>입사시험</t>
    <phoneticPr fontId="2" type="noConversion"/>
  </si>
  <si>
    <t>승진시험</t>
    <phoneticPr fontId="2" type="noConversion"/>
  </si>
  <si>
    <t>사원</t>
    <phoneticPr fontId="2" type="noConversion"/>
  </si>
  <si>
    <t>영업부</t>
    <phoneticPr fontId="2" type="noConversion"/>
  </si>
  <si>
    <t>주임</t>
    <phoneticPr fontId="2" type="noConversion"/>
  </si>
  <si>
    <t>대리</t>
    <phoneticPr fontId="2" type="noConversion"/>
  </si>
  <si>
    <t>최지영</t>
    <phoneticPr fontId="2" type="noConversion"/>
  </si>
  <si>
    <t>조이슬</t>
    <phoneticPr fontId="2" type="noConversion"/>
  </si>
  <si>
    <t>이정원</t>
    <phoneticPr fontId="2" type="noConversion"/>
  </si>
  <si>
    <t>김상희</t>
    <phoneticPr fontId="2" type="noConversion"/>
  </si>
  <si>
    <t>박승한</t>
    <phoneticPr fontId="2" type="noConversion"/>
  </si>
  <si>
    <t>심성보</t>
    <phoneticPr fontId="2" type="noConversion"/>
  </si>
  <si>
    <t>FLEX</t>
    <phoneticPr fontId="2" type="noConversion"/>
  </si>
  <si>
    <t>FLEX외국어</t>
    <phoneticPr fontId="2" type="noConversion"/>
  </si>
  <si>
    <t>고과성적</t>
    <phoneticPr fontId="2" type="noConversion"/>
  </si>
  <si>
    <t>승진시험평균</t>
    <phoneticPr fontId="2" type="noConversion"/>
  </si>
  <si>
    <t>1차고과</t>
    <phoneticPr fontId="2" type="noConversion"/>
  </si>
  <si>
    <t>2차고과</t>
    <phoneticPr fontId="2" type="noConversion"/>
  </si>
  <si>
    <t>종합점수</t>
    <phoneticPr fontId="2" type="noConversion"/>
  </si>
  <si>
    <t>F970123</t>
  </si>
  <si>
    <t>F980126</t>
  </si>
  <si>
    <t>F980124</t>
  </si>
  <si>
    <t>F970127</t>
  </si>
  <si>
    <t>F970126</t>
  </si>
  <si>
    <t>F980132</t>
  </si>
  <si>
    <t>F010023</t>
  </si>
  <si>
    <t>F010026</t>
  </si>
  <si>
    <t>F970117</t>
  </si>
  <si>
    <t>F970110</t>
  </si>
  <si>
    <t>F970111</t>
  </si>
  <si>
    <t>F970113</t>
  </si>
  <si>
    <t>F970112</t>
  </si>
  <si>
    <t>F970121</t>
  </si>
  <si>
    <t>F980122</t>
  </si>
  <si>
    <t>부서명</t>
    <phoneticPr fontId="2" type="noConversion"/>
  </si>
  <si>
    <t>입사시험과 승진시험의 상관관계 분석</t>
    <phoneticPr fontId="2" type="noConversion"/>
  </si>
  <si>
    <t>강준형</t>
    <phoneticPr fontId="2" type="noConversion"/>
  </si>
  <si>
    <t>박정재</t>
    <phoneticPr fontId="2" type="noConversion"/>
  </si>
  <si>
    <t>이건무</t>
    <phoneticPr fontId="2" type="noConversion"/>
  </si>
  <si>
    <t>이동훈</t>
    <phoneticPr fontId="2" type="noConversion"/>
  </si>
  <si>
    <t>김진일</t>
    <phoneticPr fontId="2" type="noConversion"/>
  </si>
  <si>
    <t>김은혜</t>
    <phoneticPr fontId="2" type="noConversion"/>
  </si>
  <si>
    <t>강서빈</t>
    <phoneticPr fontId="2" type="noConversion"/>
  </si>
  <si>
    <t>박지수</t>
    <phoneticPr fontId="2" type="noConversion"/>
  </si>
  <si>
    <t>김광수</t>
    <phoneticPr fontId="2" type="noConversion"/>
  </si>
  <si>
    <t>인남경</t>
    <phoneticPr fontId="2" type="noConversion"/>
  </si>
  <si>
    <t>최정진</t>
    <phoneticPr fontId="2" type="noConversion"/>
  </si>
  <si>
    <t>한성윤</t>
    <phoneticPr fontId="2" type="noConversion"/>
  </si>
  <si>
    <t>김하린</t>
    <phoneticPr fontId="2" type="noConversion"/>
  </si>
  <si>
    <t>이윤지</t>
    <phoneticPr fontId="2" type="noConversion"/>
  </si>
  <si>
    <t>이승환</t>
    <phoneticPr fontId="2" type="noConversion"/>
  </si>
  <si>
    <t>이민준</t>
    <phoneticPr fontId="2" type="noConversion"/>
  </si>
  <si>
    <t>황윤지</t>
    <phoneticPr fontId="2" type="noConversion"/>
  </si>
  <si>
    <t>김나영</t>
    <phoneticPr fontId="2" type="noConversion"/>
  </si>
  <si>
    <t>박찬형</t>
    <phoneticPr fontId="2" type="noConversion"/>
  </si>
  <si>
    <t>심운보</t>
    <phoneticPr fontId="2" type="noConversion"/>
  </si>
  <si>
    <t>안우진</t>
    <phoneticPr fontId="2" type="noConversion"/>
  </si>
  <si>
    <t>김준도</t>
    <phoneticPr fontId="2" type="noConversion"/>
  </si>
  <si>
    <t>김재웅</t>
    <phoneticPr fontId="2" type="noConversion"/>
  </si>
  <si>
    <t>김국현</t>
    <phoneticPr fontId="2" type="noConversion"/>
  </si>
  <si>
    <t>이태은</t>
    <phoneticPr fontId="2" type="noConversion"/>
  </si>
  <si>
    <t>박주희</t>
    <phoneticPr fontId="2" type="noConversion"/>
  </si>
  <si>
    <t>이세연</t>
    <phoneticPr fontId="2" type="noConversion"/>
  </si>
  <si>
    <t>황상철</t>
    <phoneticPr fontId="2" type="noConversion"/>
  </si>
  <si>
    <t>박정규</t>
    <phoneticPr fontId="2" type="noConversion"/>
  </si>
  <si>
    <t>김현중</t>
    <phoneticPr fontId="2" type="noConversion"/>
  </si>
  <si>
    <t>최찬희</t>
    <phoneticPr fontId="2" type="noConversion"/>
  </si>
  <si>
    <t>최리나</t>
    <phoneticPr fontId="2" type="noConversion"/>
  </si>
  <si>
    <t>정민재</t>
    <phoneticPr fontId="2" type="noConversion"/>
  </si>
  <si>
    <t>유영빈</t>
    <phoneticPr fontId="2" type="noConversion"/>
  </si>
  <si>
    <t>안우진</t>
    <phoneticPr fontId="2" type="noConversion"/>
  </si>
  <si>
    <t>윤순도</t>
    <phoneticPr fontId="2" type="noConversion"/>
  </si>
  <si>
    <t>장형민</t>
    <phoneticPr fontId="2" type="noConversion"/>
  </si>
  <si>
    <t>조찬익</t>
    <phoneticPr fontId="2" type="noConversion"/>
  </si>
  <si>
    <t>주혜진</t>
    <phoneticPr fontId="2" type="noConversion"/>
  </si>
  <si>
    <t>최봉근</t>
    <phoneticPr fontId="2" type="noConversion"/>
  </si>
  <si>
    <t>이관형</t>
    <phoneticPr fontId="2" type="noConversion"/>
  </si>
  <si>
    <t>박성주</t>
    <phoneticPr fontId="2" type="noConversion"/>
  </si>
  <si>
    <t>박성진</t>
    <phoneticPr fontId="2" type="noConversion"/>
  </si>
  <si>
    <t>김현수</t>
    <phoneticPr fontId="2" type="noConversion"/>
  </si>
  <si>
    <t>변도현</t>
    <phoneticPr fontId="2" type="noConversion"/>
  </si>
  <si>
    <t>신재형</t>
    <phoneticPr fontId="2" type="noConversion"/>
  </si>
  <si>
    <t>안용우</t>
    <phoneticPr fontId="2" type="noConversion"/>
  </si>
  <si>
    <t>유강현</t>
    <phoneticPr fontId="2" type="noConversion"/>
  </si>
  <si>
    <t>유재홍</t>
    <phoneticPr fontId="2" type="noConversion"/>
  </si>
  <si>
    <t>이도현</t>
    <phoneticPr fontId="2" type="noConversion"/>
  </si>
  <si>
    <t>김원상</t>
    <phoneticPr fontId="2" type="noConversion"/>
  </si>
  <si>
    <t>조건</t>
    <phoneticPr fontId="2" type="noConversion"/>
  </si>
  <si>
    <t>경영학과</t>
  </si>
  <si>
    <t>컴퓨터공학과</t>
  </si>
  <si>
    <t>사이버보안과</t>
  </si>
  <si>
    <t>중어중문과</t>
  </si>
  <si>
    <t>(모두)</t>
  </si>
  <si>
    <t>총합계</t>
  </si>
  <si>
    <t>합계 : 표준편차</t>
  </si>
  <si>
    <t>평균 : 평점환산</t>
  </si>
  <si>
    <t>평균 : 어학테스트</t>
  </si>
  <si>
    <t>평균 : 면접</t>
  </si>
  <si>
    <t>학과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</si>
</sst>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0_ "/>
    <numFmt numFmtId="178" formatCode="[&gt;=80]&quot;승진&quot;;[&lt;80]&quot;&quot;"/>
  </numFmts>
  <fonts count="9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1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5" fillId="0" borderId="1" xfId="1" applyNumberFormat="1" applyFont="1" applyBorder="1" applyAlignment="1">
      <alignment horizontal="center" vertical="center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5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>
      <alignment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176" fontId="5" fillId="0" borderId="0" xfId="1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7" fillId="3" borderId="1" xfId="0" applyFont="1" applyFill="1" applyBorder="1" applyAlignment="1">
      <alignment horizontal="center" vertical="center"/>
    </xf>
    <xf numFmtId="178" fontId="5" fillId="0" borderId="1" xfId="1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numFmt numFmtId="177" formatCode="0.00_ "/>
    </dxf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입사시험과 승진시험의 상관관계 분석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'[1]기타작업-1'!$E$4</c:f>
              <c:strCache>
                <c:ptCount val="1"/>
                <c:pt idx="0">
                  <c:v>입사시험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rgbClr val="000000"/>
              </a:solidFill>
            </a:ln>
            <a:effectLst/>
          </c:spPr>
          <c:invertIfNegative val="0"/>
          <c:cat>
            <c:strRef>
              <c:f>'[1]기타작업-1'!$B$5:$B$11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'[1]기타작업-1'!$E$5:$E$11</c:f>
              <c:numCache>
                <c:formatCode>General</c:formatCode>
                <c:ptCount val="7"/>
                <c:pt idx="0">
                  <c:v>780</c:v>
                </c:pt>
                <c:pt idx="1">
                  <c:v>890</c:v>
                </c:pt>
                <c:pt idx="2">
                  <c:v>987</c:v>
                </c:pt>
                <c:pt idx="3">
                  <c:v>927</c:v>
                </c:pt>
                <c:pt idx="4">
                  <c:v>789</c:v>
                </c:pt>
                <c:pt idx="5">
                  <c:v>919</c:v>
                </c:pt>
                <c:pt idx="6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6-4EA8-B733-48C45C11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5511280"/>
        <c:axId val="1126915136"/>
      </c:barChart>
      <c:lineChart>
        <c:grouping val="standard"/>
        <c:varyColors val="0"/>
        <c:ser>
          <c:idx val="1"/>
          <c:order val="1"/>
          <c:tx>
            <c:strRef>
              <c:f>'[1]기타작업-1'!$G$4</c:f>
              <c:strCache>
                <c:ptCount val="1"/>
                <c:pt idx="0">
                  <c:v>승진시험</c:v>
                </c:pt>
              </c:strCache>
            </c:strRef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76-4EA8-B733-48C45C11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돋움" panose="020B0600000101010101" pitchFamily="50" charset="-127"/>
                    <a:ea typeface="돋움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'[1]기타작업-1'!$B$5:$B$11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'[1]기타작업-1'!$G$5:$G$11</c:f>
              <c:numCache>
                <c:formatCode>General</c:formatCode>
                <c:ptCount val="7"/>
                <c:pt idx="0">
                  <c:v>78</c:v>
                </c:pt>
                <c:pt idx="1">
                  <c:v>88</c:v>
                </c:pt>
                <c:pt idx="2">
                  <c:v>90</c:v>
                </c:pt>
                <c:pt idx="3">
                  <c:v>87</c:v>
                </c:pt>
                <c:pt idx="4">
                  <c:v>82</c:v>
                </c:pt>
                <c:pt idx="5">
                  <c:v>91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76-4EA8-B733-48C45C11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306304"/>
        <c:axId val="1005145344"/>
      </c:lineChart>
      <c:catAx>
        <c:axId val="71551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endParaRPr lang="ko-KR"/>
          </a:p>
        </c:txPr>
        <c:crossAx val="1126915136"/>
        <c:crosses val="autoZero"/>
        <c:auto val="1"/>
        <c:lblAlgn val="ctr"/>
        <c:lblOffset val="100"/>
        <c:noMultiLvlLbl val="0"/>
      </c:catAx>
      <c:valAx>
        <c:axId val="112691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돋움" panose="020B0600000101010101" pitchFamily="50" charset="-127"/>
                    <a:ea typeface="돋움" panose="020B0600000101010101" pitchFamily="50" charset="-127"/>
                    <a:cs typeface="+mn-cs"/>
                  </a:defRPr>
                </a:pPr>
                <a:r>
                  <a:rPr lang="ko-KR" altLang="en-US"/>
                  <a:t>입사시험점수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돋움" panose="020B0600000101010101" pitchFamily="50" charset="-127"/>
                  <a:ea typeface="돋움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endParaRPr lang="ko-KR"/>
          </a:p>
        </c:txPr>
        <c:crossAx val="715511280"/>
        <c:crosses val="autoZero"/>
        <c:crossBetween val="between"/>
      </c:valAx>
      <c:valAx>
        <c:axId val="1005145344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돋움" panose="020B0600000101010101" pitchFamily="50" charset="-127"/>
                    <a:ea typeface="돋움" panose="020B0600000101010101" pitchFamily="50" charset="-127"/>
                    <a:cs typeface="+mn-cs"/>
                  </a:defRPr>
                </a:pPr>
                <a:r>
                  <a:rPr lang="ko-KR" altLang="en-US"/>
                  <a:t>승진시험점수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돋움" panose="020B0600000101010101" pitchFamily="50" charset="-127"/>
                  <a:ea typeface="돋움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endParaRPr lang="ko-KR"/>
          </a:p>
        </c:txPr>
        <c:crossAx val="785306304"/>
        <c:crosses val="max"/>
        <c:crossBetween val="between"/>
      </c:valAx>
      <c:catAx>
        <c:axId val="785306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5145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0000"/>
      </a:solidFill>
      <a:round/>
    </a:ln>
    <a:effectLst/>
  </c:spPr>
  <c:txPr>
    <a:bodyPr/>
    <a:lstStyle/>
    <a:p>
      <a:pPr>
        <a:defRPr sz="1050">
          <a:latin typeface="돋움" panose="020B0600000101010101" pitchFamily="50" charset="-127"/>
          <a:ea typeface="돋움" panose="020B0600000101010101" pitchFamily="50" charset="-127"/>
        </a:defRPr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F77902-7A0B-4E01-9456-155BC81E5C6B}">
  <sheetPr/>
  <sheetViews>
    <sheetView tabSelected="1"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승진여부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승진점수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0</xdr:row>
          <xdr:rowOff>0</xdr:rowOff>
        </xdr:from>
        <xdr:to>
          <xdr:col>5</xdr:col>
          <xdr:colOff>323850</xdr:colOff>
          <xdr:row>1</xdr:row>
          <xdr:rowOff>95250</xdr:rowOff>
        </xdr:to>
        <xdr:sp macro="" textlink="">
          <xdr:nvSpPr>
            <xdr:cNvPr id="6146" name="성적검색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nnu\OneDrive\&#48148;&#53461;%20&#54868;&#47732;\&#48376;&#48512;&#51109;&#45784;&#51204;&#49569;\&#52980;1&#44553;&#49892;&#44592;\&#52980;&#54876;1&#44553;&#49548;&#49828;%20&#48143;%20&#50756;&#49457;%20&#54028;&#51068;\&#49548;&#49828;%20&#54028;&#51068;\&#49892;&#51204;&#47784;&#51032;&#44256;&#49324;\&#49892;&#51204;&#47784;&#51032;&#44256;&#49324;5&#54924;_&#47928;&#51228;.xlsm" TargetMode="External"/><Relationship Id="rId1" Type="http://schemas.openxmlformats.org/officeDocument/2006/relationships/externalLinkPath" Target="/Users/jinnu/OneDrive/&#48148;&#53461;%20&#54868;&#47732;/&#48376;&#48512;&#51109;&#45784;&#51204;&#49569;/&#52980;1&#44553;&#49892;&#44592;/&#52980;&#54876;1&#44553;&#49548;&#49828;%20&#48143;%20&#50756;&#49457;%20&#54028;&#51068;/&#49548;&#49828;%20&#54028;&#51068;/&#49892;&#51204;&#47784;&#51032;&#44256;&#49324;/&#49892;&#51204;&#47784;&#51032;&#44256;&#49324;5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입사시험과 승진시험의 상관관계 분석</v>
          </cell>
        </row>
        <row r="4">
          <cell r="E4" t="str">
            <v>입사시험</v>
          </cell>
          <cell r="G4" t="str">
            <v>승진시험</v>
          </cell>
        </row>
        <row r="5">
          <cell r="B5" t="str">
            <v>김상희</v>
          </cell>
          <cell r="E5">
            <v>780</v>
          </cell>
          <cell r="G5">
            <v>78</v>
          </cell>
        </row>
        <row r="6">
          <cell r="B6" t="str">
            <v>박승한</v>
          </cell>
          <cell r="E6">
            <v>890</v>
          </cell>
          <cell r="G6">
            <v>88</v>
          </cell>
        </row>
        <row r="7">
          <cell r="B7" t="str">
            <v>조이슬</v>
          </cell>
          <cell r="E7">
            <v>987</v>
          </cell>
          <cell r="G7">
            <v>90</v>
          </cell>
        </row>
        <row r="8">
          <cell r="B8" t="str">
            <v>최지영</v>
          </cell>
          <cell r="E8">
            <v>927</v>
          </cell>
          <cell r="G8">
            <v>87</v>
          </cell>
        </row>
        <row r="9">
          <cell r="B9" t="str">
            <v>이원섭</v>
          </cell>
          <cell r="E9">
            <v>789</v>
          </cell>
          <cell r="G9">
            <v>82</v>
          </cell>
        </row>
        <row r="10">
          <cell r="B10" t="str">
            <v>이정원</v>
          </cell>
          <cell r="E10">
            <v>919</v>
          </cell>
          <cell r="G10">
            <v>91</v>
          </cell>
        </row>
        <row r="11">
          <cell r="B11" t="str">
            <v>심성보</v>
          </cell>
          <cell r="E11">
            <v>890</v>
          </cell>
          <cell r="G11">
            <v>90</v>
          </cell>
        </row>
      </sheetData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521670254631" createdVersion="6" refreshedVersion="6" minRefreshableVersion="3" recordCount="44" xr:uid="{00000000-000A-0000-FFFF-FFFF05000000}">
  <cacheSource type="external" connectionId="1"/>
  <cacheFields count="7">
    <cacheField name="학번" numFmtId="0" sqlType="8">
      <sharedItems containsSemiMixedTypes="0" containsString="0" containsNumber="1" containsInteger="1" minValue="15001" maxValue="22015" count="44">
        <n v="17001"/>
        <n v="17002"/>
        <n v="17003"/>
        <n v="17004"/>
        <n v="17005"/>
        <n v="17006"/>
        <n v="17007"/>
        <n v="17008"/>
        <n v="15001"/>
        <n v="15002"/>
        <n v="15003"/>
        <n v="15004"/>
        <n v="15005"/>
        <n v="15006"/>
        <n v="15007"/>
        <n v="15008"/>
        <n v="15009"/>
        <n v="15010"/>
        <n v="15011"/>
        <n v="21001"/>
        <n v="21002"/>
        <n v="21003"/>
        <n v="21004"/>
        <n v="21005"/>
        <n v="21006"/>
        <n v="21007"/>
        <n v="21008"/>
        <n v="21009"/>
        <n v="21010"/>
        <n v="22001"/>
        <n v="22002"/>
        <n v="22003"/>
        <n v="22004"/>
        <n v="22005"/>
        <n v="22006"/>
        <n v="22007"/>
        <n v="22008"/>
        <n v="22009"/>
        <n v="22010"/>
        <n v="22011"/>
        <n v="22012"/>
        <n v="22013"/>
        <n v="22014"/>
        <n v="22015"/>
      </sharedItems>
      <fieldGroup base="0">
        <rangePr autoStart="0" autoEnd="0" startNum="15000" endNum="23000" groupInterval="1000"/>
        <groupItems count="10">
          <s v="&lt;15000"/>
          <s v="15000-15999"/>
          <s v="16000-16999"/>
          <s v="17000-17999"/>
          <s v="18000-18999"/>
          <s v="19000-19999"/>
          <s v="20000-20999"/>
          <s v="21000-21999"/>
          <s v="22000-23000"/>
          <s v="&gt;23000"/>
        </groupItems>
      </fieldGroup>
    </cacheField>
    <cacheField name="성명" numFmtId="0" sqlType="-9">
      <sharedItems count="44">
        <s v="고성현"/>
        <s v="정유진"/>
        <s v="송정철"/>
        <s v="박승진"/>
        <s v="최수빈"/>
        <s v="조휘범"/>
        <s v="정성태"/>
        <s v="임정운"/>
        <s v="이예찬"/>
        <s v="윤동건"/>
        <s v="원태연"/>
        <s v="심영섭"/>
        <s v="배무현"/>
        <s v="박호석"/>
        <s v="박도훈"/>
        <s v="김준섭"/>
        <s v="김도현"/>
        <s v="권민석"/>
        <s v="신해나"/>
        <s v="박제현"/>
        <s v="이시영"/>
        <s v="이도현"/>
        <s v="김창수"/>
        <s v="김민환"/>
        <s v="고진호"/>
        <s v="정민규"/>
        <s v="전상연"/>
        <s v="이길호"/>
        <s v="문동준"/>
        <s v="김한솔"/>
        <s v="김원종"/>
        <s v="윤준"/>
        <s v="김재홍"/>
        <s v="임용섭"/>
        <s v="이다일"/>
        <s v="이영섭"/>
        <s v="김기웅"/>
        <s v="이영희"/>
        <s v="김진영"/>
        <s v="김수정"/>
        <s v="김태정"/>
        <s v="김기상"/>
        <s v="강흥석"/>
        <s v="문은아"/>
      </sharedItems>
    </cacheField>
    <cacheField name="학년" numFmtId="0" sqlType="8">
      <sharedItems containsSemiMixedTypes="0" containsString="0" containsNumber="1" containsInteger="1" minValue="2" maxValue="4" count="3">
        <n v="2"/>
        <n v="3"/>
        <n v="4"/>
      </sharedItems>
    </cacheField>
    <cacheField name="평점환산" numFmtId="0" sqlType="8">
      <sharedItems containsSemiMixedTypes="0" containsString="0" containsNumber="1" minValue="69.099999999999994" maxValue="99.9" count="17">
        <n v="91.5"/>
        <n v="91.7"/>
        <n v="93.5"/>
        <n v="94"/>
        <n v="93.3"/>
        <n v="88.4"/>
        <n v="79.3"/>
        <n v="81.099999999999994"/>
        <n v="97.3"/>
        <n v="72.8"/>
        <n v="86.6"/>
        <n v="87.1"/>
        <n v="97.7"/>
        <n v="71.099999999999994"/>
        <n v="69.099999999999994"/>
        <n v="99.9"/>
        <n v="84.6"/>
      </sharedItems>
    </cacheField>
    <cacheField name="어학테스트" numFmtId="0" sqlType="8">
      <sharedItems containsSemiMixedTypes="0" containsString="0" containsNumber="1" containsInteger="1" minValue="62" maxValue="99" count="17">
        <n v="98"/>
        <n v="96"/>
        <n v="95"/>
        <n v="88"/>
        <n v="92"/>
        <n v="94"/>
        <n v="91"/>
        <n v="87"/>
        <n v="78"/>
        <n v="70"/>
        <n v="62"/>
        <n v="99"/>
        <n v="79"/>
        <n v="97"/>
        <n v="77"/>
        <n v="82"/>
        <n v="84"/>
      </sharedItems>
    </cacheField>
    <cacheField name="면접" numFmtId="0" sqlType="8">
      <sharedItems containsSemiMixedTypes="0" containsString="0" containsNumber="1" containsInteger="1" minValue="69" maxValue="99" count="14">
        <n v="88"/>
        <n v="87"/>
        <n v="92"/>
        <n v="90"/>
        <n v="95"/>
        <n v="97"/>
        <n v="96"/>
        <n v="82"/>
        <n v="91"/>
        <n v="80"/>
        <n v="76"/>
        <n v="77"/>
        <n v="69"/>
        <n v="99"/>
      </sharedItems>
    </cacheField>
    <cacheField name="표준편차" numFmtId="0" formula=" _xlfn.STDEV.S(평점환산,어학테스트,면접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x v="0"/>
    <x v="0"/>
    <x v="0"/>
    <x v="0"/>
  </r>
  <r>
    <x v="1"/>
    <x v="1"/>
    <x v="0"/>
    <x v="1"/>
    <x v="1"/>
    <x v="1"/>
  </r>
  <r>
    <x v="2"/>
    <x v="2"/>
    <x v="0"/>
    <x v="2"/>
    <x v="2"/>
    <x v="2"/>
  </r>
  <r>
    <x v="3"/>
    <x v="3"/>
    <x v="0"/>
    <x v="3"/>
    <x v="3"/>
    <x v="3"/>
  </r>
  <r>
    <x v="4"/>
    <x v="4"/>
    <x v="1"/>
    <x v="4"/>
    <x v="4"/>
    <x v="4"/>
  </r>
  <r>
    <x v="5"/>
    <x v="5"/>
    <x v="1"/>
    <x v="5"/>
    <x v="5"/>
    <x v="5"/>
  </r>
  <r>
    <x v="6"/>
    <x v="6"/>
    <x v="1"/>
    <x v="6"/>
    <x v="6"/>
    <x v="6"/>
  </r>
  <r>
    <x v="7"/>
    <x v="7"/>
    <x v="1"/>
    <x v="7"/>
    <x v="7"/>
    <x v="7"/>
  </r>
  <r>
    <x v="8"/>
    <x v="8"/>
    <x v="1"/>
    <x v="8"/>
    <x v="8"/>
    <x v="2"/>
  </r>
  <r>
    <x v="9"/>
    <x v="9"/>
    <x v="1"/>
    <x v="4"/>
    <x v="9"/>
    <x v="8"/>
  </r>
  <r>
    <x v="10"/>
    <x v="10"/>
    <x v="2"/>
    <x v="9"/>
    <x v="0"/>
    <x v="9"/>
  </r>
  <r>
    <x v="11"/>
    <x v="11"/>
    <x v="1"/>
    <x v="0"/>
    <x v="1"/>
    <x v="10"/>
  </r>
  <r>
    <x v="12"/>
    <x v="12"/>
    <x v="1"/>
    <x v="1"/>
    <x v="2"/>
    <x v="0"/>
  </r>
  <r>
    <x v="13"/>
    <x v="13"/>
    <x v="0"/>
    <x v="2"/>
    <x v="3"/>
    <x v="1"/>
  </r>
  <r>
    <x v="14"/>
    <x v="14"/>
    <x v="0"/>
    <x v="3"/>
    <x v="4"/>
    <x v="2"/>
  </r>
  <r>
    <x v="15"/>
    <x v="15"/>
    <x v="0"/>
    <x v="4"/>
    <x v="5"/>
    <x v="3"/>
  </r>
  <r>
    <x v="16"/>
    <x v="16"/>
    <x v="0"/>
    <x v="5"/>
    <x v="6"/>
    <x v="4"/>
  </r>
  <r>
    <x v="17"/>
    <x v="17"/>
    <x v="0"/>
    <x v="6"/>
    <x v="7"/>
    <x v="5"/>
  </r>
  <r>
    <x v="18"/>
    <x v="18"/>
    <x v="0"/>
    <x v="10"/>
    <x v="8"/>
    <x v="6"/>
  </r>
  <r>
    <x v="19"/>
    <x v="19"/>
    <x v="0"/>
    <x v="8"/>
    <x v="10"/>
    <x v="11"/>
  </r>
  <r>
    <x v="20"/>
    <x v="20"/>
    <x v="0"/>
    <x v="4"/>
    <x v="0"/>
    <x v="2"/>
  </r>
  <r>
    <x v="21"/>
    <x v="21"/>
    <x v="0"/>
    <x v="11"/>
    <x v="1"/>
    <x v="8"/>
  </r>
  <r>
    <x v="22"/>
    <x v="22"/>
    <x v="2"/>
    <x v="0"/>
    <x v="2"/>
    <x v="9"/>
  </r>
  <r>
    <x v="23"/>
    <x v="23"/>
    <x v="0"/>
    <x v="12"/>
    <x v="3"/>
    <x v="0"/>
  </r>
  <r>
    <x v="24"/>
    <x v="24"/>
    <x v="1"/>
    <x v="2"/>
    <x v="4"/>
    <x v="1"/>
  </r>
  <r>
    <x v="25"/>
    <x v="25"/>
    <x v="1"/>
    <x v="12"/>
    <x v="11"/>
    <x v="4"/>
  </r>
  <r>
    <x v="26"/>
    <x v="26"/>
    <x v="1"/>
    <x v="4"/>
    <x v="6"/>
    <x v="7"/>
  </r>
  <r>
    <x v="27"/>
    <x v="27"/>
    <x v="1"/>
    <x v="5"/>
    <x v="7"/>
    <x v="4"/>
  </r>
  <r>
    <x v="28"/>
    <x v="28"/>
    <x v="1"/>
    <x v="6"/>
    <x v="8"/>
    <x v="12"/>
  </r>
  <r>
    <x v="29"/>
    <x v="29"/>
    <x v="1"/>
    <x v="7"/>
    <x v="12"/>
    <x v="6"/>
  </r>
  <r>
    <x v="30"/>
    <x v="30"/>
    <x v="1"/>
    <x v="8"/>
    <x v="0"/>
    <x v="7"/>
  </r>
  <r>
    <x v="31"/>
    <x v="31"/>
    <x v="1"/>
    <x v="13"/>
    <x v="4"/>
    <x v="2"/>
  </r>
  <r>
    <x v="32"/>
    <x v="32"/>
    <x v="1"/>
    <x v="9"/>
    <x v="2"/>
    <x v="8"/>
  </r>
  <r>
    <x v="33"/>
    <x v="33"/>
    <x v="1"/>
    <x v="0"/>
    <x v="3"/>
    <x v="0"/>
  </r>
  <r>
    <x v="34"/>
    <x v="34"/>
    <x v="1"/>
    <x v="8"/>
    <x v="13"/>
    <x v="6"/>
  </r>
  <r>
    <x v="35"/>
    <x v="35"/>
    <x v="0"/>
    <x v="14"/>
    <x v="5"/>
    <x v="2"/>
  </r>
  <r>
    <x v="36"/>
    <x v="36"/>
    <x v="0"/>
    <x v="15"/>
    <x v="6"/>
    <x v="3"/>
  </r>
  <r>
    <x v="37"/>
    <x v="37"/>
    <x v="0"/>
    <x v="4"/>
    <x v="7"/>
    <x v="4"/>
  </r>
  <r>
    <x v="38"/>
    <x v="38"/>
    <x v="0"/>
    <x v="5"/>
    <x v="8"/>
    <x v="13"/>
  </r>
  <r>
    <x v="39"/>
    <x v="39"/>
    <x v="0"/>
    <x v="16"/>
    <x v="14"/>
    <x v="6"/>
  </r>
  <r>
    <x v="40"/>
    <x v="40"/>
    <x v="2"/>
    <x v="7"/>
    <x v="15"/>
    <x v="7"/>
  </r>
  <r>
    <x v="41"/>
    <x v="41"/>
    <x v="0"/>
    <x v="8"/>
    <x v="16"/>
    <x v="2"/>
  </r>
  <r>
    <x v="42"/>
    <x v="42"/>
    <x v="0"/>
    <x v="4"/>
    <x v="13"/>
    <x v="8"/>
  </r>
  <r>
    <x v="43"/>
    <x v="43"/>
    <x v="0"/>
    <x v="9"/>
    <x v="1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3" applyNumberFormats="0" applyBorderFormats="0" applyFontFormats="0" applyPatternFormats="0" applyAlignmentFormats="0" applyWidthHeightFormats="1" dataCaption="값" updatedVersion="8" minRefreshableVersion="3" useAutoFormatting="1" itemPrintTitles="1" createdVersion="6" indent="0" compact="0" compactData="0" multipleFieldFilters="0" fieldListSortAscending="1">
  <location ref="B4:F9" firstHeaderRow="0" firstDataRow="1" firstDataCol="1" rowPageCount="1" colPageCount="1"/>
  <pivotFields count="7">
    <pivotField name="학과" axis="axisRow" compact="0" outline="0" showAll="0">
      <items count="11">
        <item x="0"/>
        <item n="컴퓨터공학과" x="1"/>
        <item x="2"/>
        <item n="사이버보안과" x="3"/>
        <item x="4"/>
        <item x="5"/>
        <item x="6"/>
        <item n="중어중문과" x="7"/>
        <item n="경영학과" x="8"/>
        <item x="9"/>
        <item t="default"/>
      </items>
    </pivotField>
    <pivotField axis="axisPage" compact="0" outline="0" showAll="0">
      <items count="45">
        <item x="42"/>
        <item x="0"/>
        <item x="24"/>
        <item x="17"/>
        <item x="41"/>
        <item x="36"/>
        <item x="16"/>
        <item x="23"/>
        <item x="39"/>
        <item x="30"/>
        <item x="32"/>
        <item x="15"/>
        <item x="38"/>
        <item x="22"/>
        <item x="40"/>
        <item x="29"/>
        <item x="28"/>
        <item x="43"/>
        <item x="14"/>
        <item x="3"/>
        <item x="19"/>
        <item x="13"/>
        <item x="12"/>
        <item x="2"/>
        <item x="18"/>
        <item x="11"/>
        <item x="10"/>
        <item x="9"/>
        <item x="31"/>
        <item x="27"/>
        <item x="34"/>
        <item x="21"/>
        <item x="20"/>
        <item x="35"/>
        <item x="37"/>
        <item x="8"/>
        <item x="33"/>
        <item x="7"/>
        <item x="26"/>
        <item x="25"/>
        <item x="6"/>
        <item x="1"/>
        <item x="5"/>
        <item x="4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0"/>
  </rowFields>
  <rowItems count="5">
    <i>
      <x v="1"/>
    </i>
    <i>
      <x v="3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평균 : 평점환산" fld="3" subtotal="average" baseField="0" baseItem="0"/>
    <dataField name="평균 : 어학테스트" fld="4" subtotal="average" baseField="0" baseItem="0"/>
    <dataField name="평균 : 면접" fld="5" subtotal="average" baseField="0" baseItem="0"/>
    <dataField name="합계 : 표준편차" fld="6" baseField="0" baseItem="0"/>
  </dataFields>
  <formats count="1">
    <format dxfId="8">
      <pivotArea outline="0" collapsedLevelsAreSubtotals="1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I29"/>
  <sheetViews>
    <sheetView zoomScale="110" zoomScaleNormal="110" workbookViewId="0"/>
  </sheetViews>
  <sheetFormatPr defaultColWidth="8.88671875" defaultRowHeight="13.5"/>
  <cols>
    <col min="1" max="1" width="5.109375" style="11" customWidth="1"/>
    <col min="2" max="3" width="8.88671875" style="16"/>
    <col min="4" max="4" width="8.88671875" style="11"/>
    <col min="5" max="6" width="8.88671875" style="16"/>
    <col min="7" max="16384" width="8.88671875" style="11"/>
  </cols>
  <sheetData>
    <row r="1" spans="2:9">
      <c r="B1" s="16" t="s">
        <v>35</v>
      </c>
    </row>
    <row r="3" spans="2:9" s="16" customFormat="1" ht="17.25" customHeight="1">
      <c r="B3" s="12" t="s">
        <v>0</v>
      </c>
      <c r="C3" s="12" t="s">
        <v>1</v>
      </c>
      <c r="D3" s="12" t="s">
        <v>2</v>
      </c>
      <c r="E3" s="12" t="s">
        <v>3</v>
      </c>
      <c r="F3" s="12" t="s">
        <v>4</v>
      </c>
      <c r="G3" s="12" t="s">
        <v>5</v>
      </c>
      <c r="H3" s="12" t="s">
        <v>6</v>
      </c>
      <c r="I3" s="12" t="s">
        <v>7</v>
      </c>
    </row>
    <row r="4" spans="2:9">
      <c r="B4" s="4" t="s">
        <v>88</v>
      </c>
      <c r="C4" s="4" t="s">
        <v>105</v>
      </c>
      <c r="D4" s="28" t="s">
        <v>8</v>
      </c>
      <c r="E4" s="4" t="s">
        <v>9</v>
      </c>
      <c r="F4" s="4" t="s">
        <v>10</v>
      </c>
      <c r="G4" s="4">
        <v>75</v>
      </c>
      <c r="H4" s="4">
        <v>80</v>
      </c>
      <c r="I4" s="4">
        <v>86</v>
      </c>
    </row>
    <row r="5" spans="2:9">
      <c r="B5" s="4" t="s">
        <v>89</v>
      </c>
      <c r="C5" s="4" t="s">
        <v>106</v>
      </c>
      <c r="D5" s="28" t="s">
        <v>11</v>
      </c>
      <c r="E5" s="4" t="s">
        <v>9</v>
      </c>
      <c r="F5" s="4" t="s">
        <v>10</v>
      </c>
      <c r="G5" s="4">
        <v>98</v>
      </c>
      <c r="H5" s="4">
        <v>86</v>
      </c>
      <c r="I5" s="4">
        <v>95</v>
      </c>
    </row>
    <row r="6" spans="2:9">
      <c r="B6" s="4" t="s">
        <v>90</v>
      </c>
      <c r="C6" s="4" t="s">
        <v>107</v>
      </c>
      <c r="D6" s="28" t="s">
        <v>11</v>
      </c>
      <c r="E6" s="4" t="s">
        <v>9</v>
      </c>
      <c r="F6" s="4" t="s">
        <v>10</v>
      </c>
      <c r="G6" s="4">
        <v>79</v>
      </c>
      <c r="H6" s="4">
        <v>65.8</v>
      </c>
      <c r="I6" s="4">
        <v>90</v>
      </c>
    </row>
    <row r="7" spans="2:9">
      <c r="B7" s="4" t="s">
        <v>91</v>
      </c>
      <c r="C7" s="4" t="s">
        <v>108</v>
      </c>
      <c r="D7" s="28" t="s">
        <v>17</v>
      </c>
      <c r="E7" s="4" t="s">
        <v>9</v>
      </c>
      <c r="F7" s="4" t="s">
        <v>10</v>
      </c>
      <c r="G7" s="4">
        <v>78</v>
      </c>
      <c r="H7" s="4">
        <v>85.6</v>
      </c>
      <c r="I7" s="4">
        <v>90</v>
      </c>
    </row>
    <row r="8" spans="2:9">
      <c r="B8" s="4" t="s">
        <v>92</v>
      </c>
      <c r="C8" s="4" t="s">
        <v>109</v>
      </c>
      <c r="D8" s="28" t="s">
        <v>11</v>
      </c>
      <c r="E8" s="4" t="s">
        <v>9</v>
      </c>
      <c r="F8" s="4" t="s">
        <v>10</v>
      </c>
      <c r="G8" s="4">
        <v>94</v>
      </c>
      <c r="H8" s="4">
        <v>74.2</v>
      </c>
      <c r="I8" s="4">
        <v>80</v>
      </c>
    </row>
    <row r="9" spans="2:9">
      <c r="B9" s="4" t="s">
        <v>93</v>
      </c>
      <c r="C9" s="4" t="s">
        <v>110</v>
      </c>
      <c r="D9" s="28" t="s">
        <v>12</v>
      </c>
      <c r="E9" s="4" t="s">
        <v>13</v>
      </c>
      <c r="F9" s="4" t="s">
        <v>14</v>
      </c>
      <c r="G9" s="4">
        <v>70</v>
      </c>
      <c r="H9" s="4">
        <v>84.2</v>
      </c>
      <c r="I9" s="4">
        <v>85</v>
      </c>
    </row>
    <row r="10" spans="2:9">
      <c r="B10" s="4" t="s">
        <v>94</v>
      </c>
      <c r="C10" s="4" t="s">
        <v>111</v>
      </c>
      <c r="D10" s="28" t="s">
        <v>15</v>
      </c>
      <c r="E10" s="4" t="s">
        <v>9</v>
      </c>
      <c r="F10" s="4" t="s">
        <v>10</v>
      </c>
      <c r="G10" s="4">
        <v>70</v>
      </c>
      <c r="H10" s="4">
        <v>86</v>
      </c>
      <c r="I10" s="4">
        <v>95</v>
      </c>
    </row>
    <row r="11" spans="2:9">
      <c r="B11" s="4" t="s">
        <v>95</v>
      </c>
      <c r="C11" s="4" t="s">
        <v>112</v>
      </c>
      <c r="D11" s="28" t="s">
        <v>8</v>
      </c>
      <c r="E11" s="4" t="s">
        <v>13</v>
      </c>
      <c r="F11" s="4" t="s">
        <v>14</v>
      </c>
      <c r="G11" s="4">
        <v>70</v>
      </c>
      <c r="H11" s="4">
        <v>79.599999999999994</v>
      </c>
      <c r="I11" s="4">
        <v>90</v>
      </c>
    </row>
    <row r="12" spans="2:9">
      <c r="B12" s="4" t="s">
        <v>96</v>
      </c>
      <c r="C12" s="4" t="s">
        <v>113</v>
      </c>
      <c r="D12" s="28" t="s">
        <v>11</v>
      </c>
      <c r="E12" s="4" t="s">
        <v>13</v>
      </c>
      <c r="F12" s="4" t="s">
        <v>14</v>
      </c>
      <c r="G12" s="4">
        <v>85</v>
      </c>
      <c r="H12" s="4">
        <v>87.8</v>
      </c>
      <c r="I12" s="4">
        <v>95</v>
      </c>
    </row>
    <row r="13" spans="2:9">
      <c r="B13" s="4" t="s">
        <v>97</v>
      </c>
      <c r="C13" s="4" t="s">
        <v>114</v>
      </c>
      <c r="D13" s="28" t="s">
        <v>11</v>
      </c>
      <c r="E13" s="4" t="s">
        <v>9</v>
      </c>
      <c r="F13" s="4" t="s">
        <v>14</v>
      </c>
      <c r="G13" s="4">
        <v>88</v>
      </c>
      <c r="H13" s="4">
        <v>92.6</v>
      </c>
      <c r="I13" s="4">
        <v>99</v>
      </c>
    </row>
    <row r="14" spans="2:9">
      <c r="B14" s="4" t="s">
        <v>98</v>
      </c>
      <c r="C14" s="4" t="s">
        <v>115</v>
      </c>
      <c r="D14" s="28" t="s">
        <v>17</v>
      </c>
      <c r="E14" s="4" t="s">
        <v>9</v>
      </c>
      <c r="F14" s="4" t="s">
        <v>14</v>
      </c>
      <c r="G14" s="4">
        <v>87</v>
      </c>
      <c r="H14" s="4">
        <v>83.2</v>
      </c>
      <c r="I14" s="4">
        <v>97</v>
      </c>
    </row>
    <row r="15" spans="2:9">
      <c r="B15" s="4" t="s">
        <v>99</v>
      </c>
      <c r="C15" s="4" t="s">
        <v>116</v>
      </c>
      <c r="D15" s="28" t="s">
        <v>17</v>
      </c>
      <c r="E15" s="4" t="s">
        <v>9</v>
      </c>
      <c r="F15" s="4" t="s">
        <v>14</v>
      </c>
      <c r="G15" s="4">
        <v>78</v>
      </c>
      <c r="H15" s="4">
        <v>91.2</v>
      </c>
      <c r="I15" s="4">
        <v>80</v>
      </c>
    </row>
    <row r="16" spans="2:9">
      <c r="B16" s="4" t="s">
        <v>100</v>
      </c>
      <c r="C16" s="4" t="s">
        <v>117</v>
      </c>
      <c r="D16" s="28" t="s">
        <v>17</v>
      </c>
      <c r="E16" s="4" t="s">
        <v>9</v>
      </c>
      <c r="F16" s="4" t="s">
        <v>14</v>
      </c>
      <c r="G16" s="4">
        <v>85</v>
      </c>
      <c r="H16" s="4">
        <v>83</v>
      </c>
      <c r="I16" s="4">
        <v>80</v>
      </c>
    </row>
    <row r="17" spans="2:9">
      <c r="B17" s="4" t="s">
        <v>101</v>
      </c>
      <c r="C17" s="4" t="s">
        <v>118</v>
      </c>
      <c r="D17" s="28" t="s">
        <v>19</v>
      </c>
      <c r="E17" s="4" t="s">
        <v>9</v>
      </c>
      <c r="F17" s="4" t="s">
        <v>14</v>
      </c>
      <c r="G17" s="4">
        <v>90</v>
      </c>
      <c r="H17" s="4">
        <v>90</v>
      </c>
      <c r="I17" s="4">
        <v>90</v>
      </c>
    </row>
    <row r="18" spans="2:9">
      <c r="B18" s="4" t="s">
        <v>102</v>
      </c>
      <c r="C18" s="4" t="s">
        <v>119</v>
      </c>
      <c r="D18" s="28" t="s">
        <v>11</v>
      </c>
      <c r="E18" s="4" t="s">
        <v>9</v>
      </c>
      <c r="F18" s="4" t="s">
        <v>10</v>
      </c>
      <c r="G18" s="4">
        <v>58</v>
      </c>
      <c r="H18" s="4">
        <v>74</v>
      </c>
      <c r="I18" s="4">
        <v>96</v>
      </c>
    </row>
    <row r="20" spans="2:9">
      <c r="B20" s="16" t="s">
        <v>156</v>
      </c>
    </row>
    <row r="21" spans="2:9">
      <c r="B21" s="16" t="b">
        <f>OR(AND(E4="남",D4&lt;&gt;"기술지원부",I4&gt;=AVERAGE($I$4:$I$18)),AND(E4="여",I4&gt;=AVERAGE($I$4:$I$18)))</f>
        <v>0</v>
      </c>
    </row>
    <row r="23" spans="2:9">
      <c r="B23" s="12" t="s">
        <v>0</v>
      </c>
      <c r="C23" s="12" t="s">
        <v>1</v>
      </c>
      <c r="D23" s="12" t="s">
        <v>2</v>
      </c>
      <c r="E23" s="12" t="s">
        <v>3</v>
      </c>
      <c r="F23" s="12" t="s">
        <v>7</v>
      </c>
    </row>
    <row r="24" spans="2:9">
      <c r="B24" s="4" t="s">
        <v>91</v>
      </c>
      <c r="C24" s="4" t="s">
        <v>108</v>
      </c>
      <c r="D24" s="28" t="s">
        <v>17</v>
      </c>
      <c r="E24" s="4" t="s">
        <v>9</v>
      </c>
      <c r="F24" s="4">
        <v>90</v>
      </c>
    </row>
    <row r="25" spans="2:9">
      <c r="B25" s="4" t="s">
        <v>94</v>
      </c>
      <c r="C25" s="4" t="s">
        <v>111</v>
      </c>
      <c r="D25" s="28" t="s">
        <v>15</v>
      </c>
      <c r="E25" s="4" t="s">
        <v>9</v>
      </c>
      <c r="F25" s="4">
        <v>95</v>
      </c>
    </row>
    <row r="26" spans="2:9">
      <c r="B26" s="4" t="s">
        <v>95</v>
      </c>
      <c r="C26" s="4" t="s">
        <v>112</v>
      </c>
      <c r="D26" s="28" t="s">
        <v>8</v>
      </c>
      <c r="E26" s="4" t="s">
        <v>13</v>
      </c>
      <c r="F26" s="4">
        <v>90</v>
      </c>
    </row>
    <row r="27" spans="2:9">
      <c r="B27" s="4" t="s">
        <v>96</v>
      </c>
      <c r="C27" s="4" t="s">
        <v>113</v>
      </c>
      <c r="D27" s="28" t="s">
        <v>11</v>
      </c>
      <c r="E27" s="4" t="s">
        <v>13</v>
      </c>
      <c r="F27" s="4">
        <v>95</v>
      </c>
    </row>
    <row r="28" spans="2:9">
      <c r="B28" s="4" t="s">
        <v>98</v>
      </c>
      <c r="C28" s="4" t="s">
        <v>115</v>
      </c>
      <c r="D28" s="28" t="s">
        <v>17</v>
      </c>
      <c r="E28" s="4" t="s">
        <v>9</v>
      </c>
      <c r="F28" s="4">
        <v>97</v>
      </c>
    </row>
    <row r="29" spans="2:9">
      <c r="B29" s="4" t="s">
        <v>101</v>
      </c>
      <c r="C29" s="4" t="s">
        <v>118</v>
      </c>
      <c r="D29" s="28" t="s">
        <v>19</v>
      </c>
      <c r="E29" s="4" t="s">
        <v>9</v>
      </c>
      <c r="F29" s="4">
        <v>90</v>
      </c>
    </row>
  </sheetData>
  <phoneticPr fontId="2" type="noConversion"/>
  <conditionalFormatting sqref="B4:I18">
    <cfRule type="expression" dxfId="9" priority="1">
      <formula>AND(MID($B4,2,2)="97",$F4="주임",$I4&gt;=90)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18"/>
  <sheetViews>
    <sheetView workbookViewId="0">
      <selection activeCell="D12" sqref="D12"/>
    </sheetView>
  </sheetViews>
  <sheetFormatPr defaultColWidth="8.88671875" defaultRowHeight="13.5"/>
  <cols>
    <col min="1" max="1" width="5.109375" style="11" customWidth="1"/>
    <col min="2" max="3" width="8.88671875" style="16"/>
    <col min="4" max="4" width="8.88671875" style="11"/>
    <col min="5" max="6" width="8.88671875" style="16"/>
    <col min="7" max="16384" width="8.88671875" style="11"/>
  </cols>
  <sheetData>
    <row r="1" spans="2:9">
      <c r="B1" s="16" t="s">
        <v>35</v>
      </c>
    </row>
    <row r="3" spans="2:9" s="16" customFormat="1" ht="17.25" customHeight="1">
      <c r="B3" s="31" t="s">
        <v>0</v>
      </c>
      <c r="C3" s="31" t="s">
        <v>1</v>
      </c>
      <c r="D3" s="31" t="s">
        <v>2</v>
      </c>
      <c r="E3" s="31" t="s">
        <v>3</v>
      </c>
      <c r="F3" s="31" t="s">
        <v>4</v>
      </c>
      <c r="G3" s="31" t="s">
        <v>5</v>
      </c>
      <c r="H3" s="31" t="s">
        <v>6</v>
      </c>
      <c r="I3" s="31" t="s">
        <v>7</v>
      </c>
    </row>
    <row r="4" spans="2:9">
      <c r="B4" s="4" t="s">
        <v>88</v>
      </c>
      <c r="C4" s="4" t="s">
        <v>105</v>
      </c>
      <c r="D4" s="28" t="s">
        <v>8</v>
      </c>
      <c r="E4" s="4" t="s">
        <v>9</v>
      </c>
      <c r="F4" s="4" t="s">
        <v>10</v>
      </c>
      <c r="G4" s="4">
        <v>75</v>
      </c>
      <c r="H4" s="4">
        <v>80</v>
      </c>
      <c r="I4" s="4">
        <v>86</v>
      </c>
    </row>
    <row r="5" spans="2:9">
      <c r="B5" s="4" t="s">
        <v>89</v>
      </c>
      <c r="C5" s="4" t="s">
        <v>106</v>
      </c>
      <c r="D5" s="28" t="s">
        <v>11</v>
      </c>
      <c r="E5" s="4" t="s">
        <v>9</v>
      </c>
      <c r="F5" s="4" t="s">
        <v>10</v>
      </c>
      <c r="G5" s="4">
        <v>98</v>
      </c>
      <c r="H5" s="4">
        <v>86</v>
      </c>
      <c r="I5" s="4">
        <v>95</v>
      </c>
    </row>
    <row r="6" spans="2:9">
      <c r="B6" s="4" t="s">
        <v>90</v>
      </c>
      <c r="C6" s="4" t="s">
        <v>107</v>
      </c>
      <c r="D6" s="28" t="s">
        <v>11</v>
      </c>
      <c r="E6" s="4" t="s">
        <v>9</v>
      </c>
      <c r="F6" s="4" t="s">
        <v>10</v>
      </c>
      <c r="G6" s="4">
        <v>79</v>
      </c>
      <c r="H6" s="4">
        <v>65.8</v>
      </c>
      <c r="I6" s="4">
        <v>90</v>
      </c>
    </row>
    <row r="7" spans="2:9">
      <c r="B7" s="4" t="s">
        <v>91</v>
      </c>
      <c r="C7" s="4" t="s">
        <v>108</v>
      </c>
      <c r="D7" s="28" t="s">
        <v>17</v>
      </c>
      <c r="E7" s="4" t="s">
        <v>9</v>
      </c>
      <c r="F7" s="4" t="s">
        <v>10</v>
      </c>
      <c r="G7" s="4">
        <v>78</v>
      </c>
      <c r="H7" s="4">
        <v>85.6</v>
      </c>
      <c r="I7" s="4">
        <v>90</v>
      </c>
    </row>
    <row r="8" spans="2:9">
      <c r="B8" s="4" t="s">
        <v>92</v>
      </c>
      <c r="C8" s="4" t="s">
        <v>109</v>
      </c>
      <c r="D8" s="28" t="s">
        <v>11</v>
      </c>
      <c r="E8" s="4" t="s">
        <v>9</v>
      </c>
      <c r="F8" s="4" t="s">
        <v>10</v>
      </c>
      <c r="G8" s="4">
        <v>94</v>
      </c>
      <c r="H8" s="4">
        <v>74.2</v>
      </c>
      <c r="I8" s="4">
        <v>80</v>
      </c>
    </row>
    <row r="9" spans="2:9">
      <c r="B9" s="4" t="s">
        <v>93</v>
      </c>
      <c r="C9" s="4" t="s">
        <v>110</v>
      </c>
      <c r="D9" s="28" t="s">
        <v>12</v>
      </c>
      <c r="E9" s="4" t="s">
        <v>13</v>
      </c>
      <c r="F9" s="4" t="s">
        <v>14</v>
      </c>
      <c r="G9" s="4">
        <v>70</v>
      </c>
      <c r="H9" s="4">
        <v>84.2</v>
      </c>
      <c r="I9" s="4">
        <v>85</v>
      </c>
    </row>
    <row r="10" spans="2:9">
      <c r="B10" s="4" t="s">
        <v>94</v>
      </c>
      <c r="C10" s="4" t="s">
        <v>111</v>
      </c>
      <c r="D10" s="28" t="s">
        <v>15</v>
      </c>
      <c r="E10" s="4" t="s">
        <v>9</v>
      </c>
      <c r="F10" s="4" t="s">
        <v>10</v>
      </c>
      <c r="G10" s="4">
        <v>70</v>
      </c>
      <c r="H10" s="4">
        <v>86</v>
      </c>
      <c r="I10" s="4">
        <v>95</v>
      </c>
    </row>
    <row r="11" spans="2:9">
      <c r="B11" s="4" t="s">
        <v>95</v>
      </c>
      <c r="C11" s="4" t="s">
        <v>112</v>
      </c>
      <c r="D11" s="28" t="s">
        <v>8</v>
      </c>
      <c r="E11" s="4" t="s">
        <v>13</v>
      </c>
      <c r="F11" s="4" t="s">
        <v>14</v>
      </c>
      <c r="G11" s="4">
        <v>70</v>
      </c>
      <c r="H11" s="4">
        <v>79.599999999999994</v>
      </c>
      <c r="I11" s="4">
        <v>90</v>
      </c>
    </row>
    <row r="12" spans="2:9">
      <c r="B12" s="4" t="s">
        <v>96</v>
      </c>
      <c r="C12" s="4" t="s">
        <v>113</v>
      </c>
      <c r="D12" s="28" t="s">
        <v>11</v>
      </c>
      <c r="E12" s="4" t="s">
        <v>13</v>
      </c>
      <c r="F12" s="4" t="s">
        <v>14</v>
      </c>
      <c r="G12" s="4">
        <v>85</v>
      </c>
      <c r="H12" s="4">
        <v>87.8</v>
      </c>
      <c r="I12" s="4">
        <v>95</v>
      </c>
    </row>
    <row r="13" spans="2:9">
      <c r="B13" s="4" t="s">
        <v>97</v>
      </c>
      <c r="C13" s="4" t="s">
        <v>114</v>
      </c>
      <c r="D13" s="28" t="s">
        <v>11</v>
      </c>
      <c r="E13" s="4" t="s">
        <v>9</v>
      </c>
      <c r="F13" s="4" t="s">
        <v>14</v>
      </c>
      <c r="G13" s="4">
        <v>88</v>
      </c>
      <c r="H13" s="4">
        <v>92.6</v>
      </c>
      <c r="I13" s="4">
        <v>99</v>
      </c>
    </row>
    <row r="14" spans="2:9">
      <c r="B14" s="4" t="s">
        <v>98</v>
      </c>
      <c r="C14" s="4" t="s">
        <v>115</v>
      </c>
      <c r="D14" s="28" t="s">
        <v>17</v>
      </c>
      <c r="E14" s="4" t="s">
        <v>9</v>
      </c>
      <c r="F14" s="4" t="s">
        <v>14</v>
      </c>
      <c r="G14" s="4">
        <v>87</v>
      </c>
      <c r="H14" s="4">
        <v>83.2</v>
      </c>
      <c r="I14" s="4">
        <v>97</v>
      </c>
    </row>
    <row r="15" spans="2:9">
      <c r="B15" s="4" t="s">
        <v>99</v>
      </c>
      <c r="C15" s="4" t="s">
        <v>116</v>
      </c>
      <c r="D15" s="28" t="s">
        <v>17</v>
      </c>
      <c r="E15" s="4" t="s">
        <v>9</v>
      </c>
      <c r="F15" s="4" t="s">
        <v>14</v>
      </c>
      <c r="G15" s="4">
        <v>78</v>
      </c>
      <c r="H15" s="4">
        <v>91.2</v>
      </c>
      <c r="I15" s="4">
        <v>80</v>
      </c>
    </row>
    <row r="16" spans="2:9">
      <c r="B16" s="4" t="s">
        <v>100</v>
      </c>
      <c r="C16" s="4" t="s">
        <v>117</v>
      </c>
      <c r="D16" s="28" t="s">
        <v>17</v>
      </c>
      <c r="E16" s="4" t="s">
        <v>9</v>
      </c>
      <c r="F16" s="4" t="s">
        <v>14</v>
      </c>
      <c r="G16" s="4">
        <v>85</v>
      </c>
      <c r="H16" s="4">
        <v>83</v>
      </c>
      <c r="I16" s="4">
        <v>80</v>
      </c>
    </row>
    <row r="17" spans="2:9">
      <c r="B17" s="4" t="s">
        <v>101</v>
      </c>
      <c r="C17" s="4" t="s">
        <v>118</v>
      </c>
      <c r="D17" s="28" t="s">
        <v>19</v>
      </c>
      <c r="E17" s="4" t="s">
        <v>9</v>
      </c>
      <c r="F17" s="4" t="s">
        <v>14</v>
      </c>
      <c r="G17" s="4">
        <v>90</v>
      </c>
      <c r="H17" s="4">
        <v>90</v>
      </c>
      <c r="I17" s="4">
        <v>90</v>
      </c>
    </row>
    <row r="18" spans="2:9">
      <c r="B18" s="4" t="s">
        <v>102</v>
      </c>
      <c r="C18" s="4" t="s">
        <v>119</v>
      </c>
      <c r="D18" s="28" t="s">
        <v>11</v>
      </c>
      <c r="E18" s="4" t="s">
        <v>9</v>
      </c>
      <c r="F18" s="4" t="s">
        <v>10</v>
      </c>
      <c r="G18" s="4">
        <v>58</v>
      </c>
      <c r="H18" s="4">
        <v>74</v>
      </c>
      <c r="I18" s="4">
        <v>96</v>
      </c>
    </row>
  </sheetData>
  <phoneticPr fontId="2" type="noConversion"/>
  <printOptions horizontalCentered="1" verticalCentered="1" headings="1" gridLines="1"/>
  <pageMargins left="0.74803149606299213" right="0.74803149606299213" top="0.98425196850393704" bottom="0.98425196850393704" header="0.51181102362204722" footer="0.51181102362204722"/>
  <pageSetup paperSize="9" orientation="portrait" blackAndWhite="1" horizontalDpi="4294967293" verticalDpi="4294967293" r:id="rId1"/>
  <headerFooter alignWithMargins="0">
    <oddFooter>&amp;C&amp;D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O29"/>
  <sheetViews>
    <sheetView workbookViewId="0">
      <selection activeCell="H25" sqref="H25"/>
    </sheetView>
  </sheetViews>
  <sheetFormatPr defaultColWidth="8.88671875" defaultRowHeight="13.5"/>
  <cols>
    <col min="1" max="1" width="2" style="11" customWidth="1"/>
    <col min="2" max="2" width="8.88671875" style="11"/>
    <col min="3" max="3" width="10" style="11" bestFit="1" customWidth="1"/>
    <col min="4" max="4" width="9.33203125" style="11" customWidth="1"/>
    <col min="5" max="5" width="6.5546875" style="11" customWidth="1"/>
    <col min="6" max="6" width="5.44140625" style="11" customWidth="1"/>
    <col min="7" max="7" width="6.77734375" style="11" customWidth="1"/>
    <col min="8" max="8" width="7.5546875" style="11" customWidth="1"/>
    <col min="9" max="9" width="7.109375" style="11" customWidth="1"/>
    <col min="10" max="10" width="8.21875" style="11" bestFit="1" customWidth="1"/>
    <col min="11" max="11" width="3.44140625" style="11" customWidth="1"/>
    <col min="12" max="12" width="6.77734375" style="11" bestFit="1" customWidth="1"/>
    <col min="13" max="13" width="6" style="11" customWidth="1"/>
    <col min="14" max="14" width="5.6640625" style="11" bestFit="1" customWidth="1"/>
    <col min="15" max="15" width="8.5546875" style="11" bestFit="1" customWidth="1"/>
    <col min="16" max="16384" width="8.88671875" style="11"/>
  </cols>
  <sheetData>
    <row r="1" spans="2:15">
      <c r="B1" s="11" t="s">
        <v>35</v>
      </c>
    </row>
    <row r="2" spans="2:15">
      <c r="B2" s="4" t="s">
        <v>34</v>
      </c>
      <c r="C2" s="4" t="s">
        <v>56</v>
      </c>
      <c r="D2" s="14" t="s">
        <v>103</v>
      </c>
      <c r="E2" s="4" t="s">
        <v>27</v>
      </c>
      <c r="F2" s="4" t="s">
        <v>58</v>
      </c>
      <c r="G2" s="4" t="s">
        <v>59</v>
      </c>
      <c r="H2" s="4" t="s">
        <v>20</v>
      </c>
      <c r="I2" s="14" t="s">
        <v>62</v>
      </c>
      <c r="J2" s="14" t="s">
        <v>57</v>
      </c>
    </row>
    <row r="3" spans="2:15">
      <c r="B3" s="4" t="s">
        <v>138</v>
      </c>
      <c r="C3" s="4">
        <v>13</v>
      </c>
      <c r="D3" s="5" t="str">
        <f>_xlfn.XLOOKUP(VALUE(LEFT(C3,1)),$L$9:$L$14,$O$9:$O$14)</f>
        <v>총무부</v>
      </c>
      <c r="E3" s="4" t="s">
        <v>28</v>
      </c>
      <c r="F3" s="7">
        <v>87</v>
      </c>
      <c r="G3" s="7">
        <v>74</v>
      </c>
      <c r="H3" s="8">
        <v>88</v>
      </c>
      <c r="I3" s="4" t="str">
        <f>_xlfn.CONCAT(SUMPRODUCT(F3:G3,$M$5:$N$5),"점")</f>
        <v>79.2점</v>
      </c>
      <c r="J3" s="4" t="str">
        <f>fn등급(H3)</f>
        <v>B</v>
      </c>
      <c r="L3" s="11" t="s">
        <v>61</v>
      </c>
    </row>
    <row r="4" spans="2:15">
      <c r="B4" s="4" t="s">
        <v>139</v>
      </c>
      <c r="C4" s="4">
        <v>12</v>
      </c>
      <c r="D4" s="5" t="str">
        <f t="shared" ref="D4:D20" si="0">_xlfn.XLOOKUP(VALUE(LEFT(C4,1)),$L$9:$L$14,$O$9:$O$14)</f>
        <v>총무부</v>
      </c>
      <c r="E4" s="4" t="s">
        <v>30</v>
      </c>
      <c r="F4" s="7">
        <v>65</v>
      </c>
      <c r="G4" s="7">
        <v>68</v>
      </c>
      <c r="H4" s="7">
        <v>70</v>
      </c>
      <c r="I4" s="4" t="str">
        <f t="shared" ref="I4:I20" si="1">_xlfn.CONCAT(SUMPRODUCT(F4:G4,$M$5:$N$5),"점")</f>
        <v>66.8점</v>
      </c>
      <c r="J4" s="4" t="str">
        <f t="shared" ref="J4:J20" si="2">fn등급(H4)</f>
        <v>C</v>
      </c>
      <c r="L4" s="4" t="s">
        <v>22</v>
      </c>
      <c r="M4" s="4" t="s">
        <v>63</v>
      </c>
      <c r="N4" s="4" t="s">
        <v>64</v>
      </c>
    </row>
    <row r="5" spans="2:15">
      <c r="B5" s="4" t="s">
        <v>140</v>
      </c>
      <c r="C5" s="4">
        <v>35</v>
      </c>
      <c r="D5" s="5" t="str">
        <f t="shared" si="0"/>
        <v>영업부</v>
      </c>
      <c r="E5" s="4" t="s">
        <v>31</v>
      </c>
      <c r="F5" s="7">
        <v>87</v>
      </c>
      <c r="G5" s="7">
        <v>87</v>
      </c>
      <c r="H5" s="8">
        <v>94</v>
      </c>
      <c r="I5" s="4" t="str">
        <f t="shared" si="1"/>
        <v>87점</v>
      </c>
      <c r="J5" s="4" t="str">
        <f t="shared" si="2"/>
        <v>A</v>
      </c>
      <c r="L5" s="4" t="s">
        <v>33</v>
      </c>
      <c r="M5" s="15">
        <v>0.4</v>
      </c>
      <c r="N5" s="15">
        <v>0.6</v>
      </c>
    </row>
    <row r="6" spans="2:15">
      <c r="B6" s="4" t="s">
        <v>141</v>
      </c>
      <c r="C6" s="4">
        <v>43</v>
      </c>
      <c r="D6" s="5" t="str">
        <f t="shared" si="0"/>
        <v>기술지원부</v>
      </c>
      <c r="E6" s="4" t="s">
        <v>31</v>
      </c>
      <c r="F6" s="7">
        <v>64</v>
      </c>
      <c r="G6" s="7">
        <v>67</v>
      </c>
      <c r="H6" s="8">
        <v>90</v>
      </c>
      <c r="I6" s="4" t="str">
        <f t="shared" si="1"/>
        <v>65.8점</v>
      </c>
      <c r="J6" s="4" t="str">
        <f t="shared" si="2"/>
        <v>A</v>
      </c>
    </row>
    <row r="7" spans="2:15">
      <c r="B7" s="4" t="s">
        <v>142</v>
      </c>
      <c r="C7" s="4">
        <v>31</v>
      </c>
      <c r="D7" s="5" t="str">
        <f t="shared" si="0"/>
        <v>영업부</v>
      </c>
      <c r="E7" s="4" t="s">
        <v>30</v>
      </c>
      <c r="F7" s="7">
        <v>94</v>
      </c>
      <c r="G7" s="7">
        <v>80</v>
      </c>
      <c r="H7" s="8">
        <v>87</v>
      </c>
      <c r="I7" s="4" t="str">
        <f t="shared" si="1"/>
        <v>85.6점</v>
      </c>
      <c r="J7" s="4" t="str">
        <f t="shared" si="2"/>
        <v>B</v>
      </c>
      <c r="K7" s="16"/>
      <c r="L7" s="17" t="s">
        <v>54</v>
      </c>
      <c r="M7" s="16"/>
      <c r="N7" s="16"/>
      <c r="O7" s="16"/>
    </row>
    <row r="8" spans="2:15">
      <c r="B8" s="4" t="s">
        <v>143</v>
      </c>
      <c r="C8" s="4">
        <v>53</v>
      </c>
      <c r="D8" s="5" t="str">
        <f t="shared" si="0"/>
        <v>비서실</v>
      </c>
      <c r="E8" s="4" t="s">
        <v>29</v>
      </c>
      <c r="F8" s="7">
        <v>61</v>
      </c>
      <c r="G8" s="7">
        <v>83</v>
      </c>
      <c r="H8" s="8">
        <v>82</v>
      </c>
      <c r="I8" s="4" t="str">
        <f t="shared" si="1"/>
        <v>74.2점</v>
      </c>
      <c r="J8" s="4" t="str">
        <f t="shared" si="2"/>
        <v>B</v>
      </c>
      <c r="K8" s="18"/>
      <c r="L8" s="19" t="s">
        <v>41</v>
      </c>
      <c r="M8" s="19" t="s">
        <v>39</v>
      </c>
      <c r="N8" s="19" t="s">
        <v>40</v>
      </c>
      <c r="O8" s="19" t="s">
        <v>103</v>
      </c>
    </row>
    <row r="9" spans="2:15">
      <c r="B9" s="4" t="s">
        <v>144</v>
      </c>
      <c r="C9" s="4">
        <v>22</v>
      </c>
      <c r="D9" s="5" t="str">
        <f t="shared" si="0"/>
        <v>인사부</v>
      </c>
      <c r="E9" s="4" t="s">
        <v>29</v>
      </c>
      <c r="F9" s="7">
        <v>95</v>
      </c>
      <c r="G9" s="7">
        <v>77</v>
      </c>
      <c r="H9" s="8">
        <v>92</v>
      </c>
      <c r="I9" s="4" t="str">
        <f t="shared" si="1"/>
        <v>84.2점</v>
      </c>
      <c r="J9" s="4" t="str">
        <f t="shared" si="2"/>
        <v>A</v>
      </c>
      <c r="K9" s="18"/>
      <c r="L9" s="20">
        <v>1</v>
      </c>
      <c r="M9" s="20" t="s">
        <v>42</v>
      </c>
      <c r="N9" s="20" t="s">
        <v>43</v>
      </c>
      <c r="O9" s="21" t="s">
        <v>23</v>
      </c>
    </row>
    <row r="10" spans="2:15">
      <c r="B10" s="4" t="s">
        <v>145</v>
      </c>
      <c r="C10" s="4">
        <v>63</v>
      </c>
      <c r="D10" s="5" t="str">
        <f t="shared" si="0"/>
        <v>감사실</v>
      </c>
      <c r="E10" s="4" t="s">
        <v>30</v>
      </c>
      <c r="F10" s="7">
        <v>95</v>
      </c>
      <c r="G10" s="7">
        <v>80</v>
      </c>
      <c r="H10" s="8">
        <v>80</v>
      </c>
      <c r="I10" s="4" t="str">
        <f t="shared" si="1"/>
        <v>86점</v>
      </c>
      <c r="J10" s="4" t="str">
        <f t="shared" si="2"/>
        <v>B</v>
      </c>
      <c r="K10" s="18"/>
      <c r="L10" s="16">
        <v>2</v>
      </c>
      <c r="M10" s="16" t="s">
        <v>44</v>
      </c>
      <c r="N10" s="16" t="s">
        <v>45</v>
      </c>
      <c r="O10" s="22" t="s">
        <v>25</v>
      </c>
    </row>
    <row r="11" spans="2:15">
      <c r="B11" s="4" t="s">
        <v>146</v>
      </c>
      <c r="C11" s="4">
        <v>54</v>
      </c>
      <c r="D11" s="5" t="str">
        <f t="shared" si="0"/>
        <v>비서실</v>
      </c>
      <c r="E11" s="4" t="s">
        <v>31</v>
      </c>
      <c r="F11" s="7">
        <v>82</v>
      </c>
      <c r="G11" s="7">
        <v>78</v>
      </c>
      <c r="H11" s="8">
        <v>77</v>
      </c>
      <c r="I11" s="4" t="str">
        <f t="shared" si="1"/>
        <v>79.6점</v>
      </c>
      <c r="J11" s="4" t="str">
        <f t="shared" si="2"/>
        <v>C</v>
      </c>
      <c r="K11" s="18"/>
      <c r="L11" s="16">
        <v>3</v>
      </c>
      <c r="M11" s="16" t="s">
        <v>46</v>
      </c>
      <c r="N11" s="16" t="s">
        <v>47</v>
      </c>
      <c r="O11" s="22" t="s">
        <v>24</v>
      </c>
    </row>
    <row r="12" spans="2:15">
      <c r="B12" s="4" t="s">
        <v>147</v>
      </c>
      <c r="C12" s="4">
        <v>14</v>
      </c>
      <c r="D12" s="5" t="str">
        <f t="shared" si="0"/>
        <v>총무부</v>
      </c>
      <c r="E12" s="4" t="s">
        <v>31</v>
      </c>
      <c r="F12" s="7">
        <v>86</v>
      </c>
      <c r="G12" s="7">
        <v>89</v>
      </c>
      <c r="H12" s="8">
        <v>86</v>
      </c>
      <c r="I12" s="4" t="str">
        <f t="shared" si="1"/>
        <v>87.8점</v>
      </c>
      <c r="J12" s="4" t="str">
        <f t="shared" si="2"/>
        <v>B</v>
      </c>
      <c r="K12" s="18"/>
      <c r="L12" s="16">
        <v>4</v>
      </c>
      <c r="M12" s="16" t="s">
        <v>48</v>
      </c>
      <c r="N12" s="16" t="s">
        <v>49</v>
      </c>
      <c r="O12" s="22" t="s">
        <v>26</v>
      </c>
    </row>
    <row r="13" spans="2:15">
      <c r="B13" s="4" t="s">
        <v>148</v>
      </c>
      <c r="C13" s="4">
        <v>54</v>
      </c>
      <c r="D13" s="5" t="str">
        <f t="shared" si="0"/>
        <v>비서실</v>
      </c>
      <c r="E13" s="4" t="s">
        <v>32</v>
      </c>
      <c r="F13" s="7">
        <v>95</v>
      </c>
      <c r="G13" s="7">
        <v>91</v>
      </c>
      <c r="H13" s="8">
        <v>82</v>
      </c>
      <c r="I13" s="4" t="str">
        <f t="shared" si="1"/>
        <v>92.6점</v>
      </c>
      <c r="J13" s="4" t="str">
        <f t="shared" si="2"/>
        <v>B</v>
      </c>
      <c r="K13" s="18"/>
      <c r="L13" s="16">
        <v>5</v>
      </c>
      <c r="M13" s="16" t="s">
        <v>50</v>
      </c>
      <c r="N13" s="16" t="s">
        <v>53</v>
      </c>
      <c r="O13" s="22" t="s">
        <v>37</v>
      </c>
    </row>
    <row r="14" spans="2:15">
      <c r="B14" s="4" t="s">
        <v>149</v>
      </c>
      <c r="C14" s="4">
        <v>62</v>
      </c>
      <c r="D14" s="5" t="str">
        <f t="shared" si="0"/>
        <v>감사실</v>
      </c>
      <c r="E14" s="4" t="s">
        <v>30</v>
      </c>
      <c r="F14" s="7">
        <v>88</v>
      </c>
      <c r="G14" s="7">
        <v>80</v>
      </c>
      <c r="H14" s="8">
        <v>88</v>
      </c>
      <c r="I14" s="4" t="str">
        <f t="shared" si="1"/>
        <v>83.2점</v>
      </c>
      <c r="J14" s="4" t="str">
        <f t="shared" si="2"/>
        <v>B</v>
      </c>
      <c r="K14" s="18"/>
      <c r="L14" s="23">
        <v>6</v>
      </c>
      <c r="M14" s="23" t="s">
        <v>51</v>
      </c>
      <c r="N14" s="23" t="s">
        <v>52</v>
      </c>
      <c r="O14" s="24" t="s">
        <v>38</v>
      </c>
    </row>
    <row r="15" spans="2:15">
      <c r="B15" s="4" t="s">
        <v>150</v>
      </c>
      <c r="C15" s="4">
        <v>13</v>
      </c>
      <c r="D15" s="5" t="str">
        <f t="shared" si="0"/>
        <v>총무부</v>
      </c>
      <c r="E15" s="4" t="s">
        <v>30</v>
      </c>
      <c r="F15" s="7">
        <v>93</v>
      </c>
      <c r="G15" s="7">
        <v>90</v>
      </c>
      <c r="H15" s="8">
        <v>92</v>
      </c>
      <c r="I15" s="4" t="str">
        <f t="shared" si="1"/>
        <v>91.2점</v>
      </c>
      <c r="J15" s="4" t="str">
        <f t="shared" si="2"/>
        <v>A</v>
      </c>
      <c r="K15" s="18"/>
    </row>
    <row r="16" spans="2:15">
      <c r="B16" s="4" t="s">
        <v>151</v>
      </c>
      <c r="C16" s="4">
        <v>23</v>
      </c>
      <c r="D16" s="5" t="str">
        <f t="shared" si="0"/>
        <v>인사부</v>
      </c>
      <c r="E16" s="4" t="s">
        <v>31</v>
      </c>
      <c r="F16" s="7">
        <v>77</v>
      </c>
      <c r="G16" s="7">
        <v>87</v>
      </c>
      <c r="H16" s="8">
        <v>86</v>
      </c>
      <c r="I16" s="4" t="str">
        <f t="shared" si="1"/>
        <v>83점</v>
      </c>
      <c r="J16" s="4" t="str">
        <f t="shared" si="2"/>
        <v>B</v>
      </c>
      <c r="K16" s="18"/>
    </row>
    <row r="17" spans="2:13">
      <c r="B17" s="4" t="s">
        <v>152</v>
      </c>
      <c r="C17" s="4">
        <v>26</v>
      </c>
      <c r="D17" s="5" t="str">
        <f t="shared" si="0"/>
        <v>인사부</v>
      </c>
      <c r="E17" s="4" t="s">
        <v>31</v>
      </c>
      <c r="F17" s="7">
        <v>60</v>
      </c>
      <c r="G17" s="7">
        <v>78</v>
      </c>
      <c r="H17" s="7">
        <v>77</v>
      </c>
      <c r="I17" s="4" t="str">
        <f t="shared" si="1"/>
        <v>70.8점</v>
      </c>
      <c r="J17" s="4" t="str">
        <f t="shared" si="2"/>
        <v>C</v>
      </c>
      <c r="K17" s="18"/>
    </row>
    <row r="18" spans="2:13">
      <c r="B18" s="4" t="s">
        <v>153</v>
      </c>
      <c r="C18" s="4">
        <v>64</v>
      </c>
      <c r="D18" s="5" t="str">
        <f t="shared" si="0"/>
        <v>감사실</v>
      </c>
      <c r="E18" s="4" t="s">
        <v>32</v>
      </c>
      <c r="F18" s="7">
        <v>74</v>
      </c>
      <c r="G18" s="7">
        <v>64</v>
      </c>
      <c r="H18" s="8">
        <v>63</v>
      </c>
      <c r="I18" s="4" t="str">
        <f t="shared" si="1"/>
        <v>68점</v>
      </c>
      <c r="J18" s="4" t="str">
        <f t="shared" si="2"/>
        <v>D</v>
      </c>
      <c r="K18" s="18"/>
    </row>
    <row r="19" spans="2:13">
      <c r="B19" s="4" t="s">
        <v>154</v>
      </c>
      <c r="C19" s="4">
        <v>34</v>
      </c>
      <c r="D19" s="5" t="str">
        <f t="shared" si="0"/>
        <v>영업부</v>
      </c>
      <c r="E19" s="4" t="s">
        <v>32</v>
      </c>
      <c r="F19" s="7">
        <v>67</v>
      </c>
      <c r="G19" s="7">
        <v>68</v>
      </c>
      <c r="H19" s="8">
        <v>65</v>
      </c>
      <c r="I19" s="4" t="str">
        <f t="shared" si="1"/>
        <v>67.6점</v>
      </c>
      <c r="J19" s="4" t="str">
        <f t="shared" si="2"/>
        <v>D</v>
      </c>
      <c r="K19" s="18"/>
      <c r="L19" s="25"/>
      <c r="M19" s="26"/>
    </row>
    <row r="20" spans="2:13">
      <c r="B20" s="4" t="s">
        <v>155</v>
      </c>
      <c r="C20" s="4">
        <v>64</v>
      </c>
      <c r="D20" s="5" t="str">
        <f t="shared" si="0"/>
        <v>감사실</v>
      </c>
      <c r="E20" s="4" t="s">
        <v>28</v>
      </c>
      <c r="F20" s="7">
        <v>70</v>
      </c>
      <c r="G20" s="7">
        <v>75</v>
      </c>
      <c r="H20" s="8">
        <v>70</v>
      </c>
      <c r="I20" s="4" t="str">
        <f t="shared" si="1"/>
        <v>73점</v>
      </c>
      <c r="J20" s="4" t="str">
        <f t="shared" si="2"/>
        <v>C</v>
      </c>
      <c r="K20" s="18"/>
      <c r="L20" s="25"/>
      <c r="M20" s="25"/>
    </row>
    <row r="21" spans="2:13">
      <c r="D21" s="22"/>
      <c r="K21" s="18"/>
      <c r="L21" s="25"/>
      <c r="M21" s="25"/>
    </row>
    <row r="22" spans="2:13">
      <c r="B22" s="11" t="s">
        <v>60</v>
      </c>
      <c r="G22" s="11" t="s">
        <v>36</v>
      </c>
      <c r="K22" s="18"/>
      <c r="L22" s="25"/>
      <c r="M22" s="25"/>
    </row>
    <row r="23" spans="2:13">
      <c r="B23" s="4" t="s">
        <v>27</v>
      </c>
      <c r="C23" s="14" t="s">
        <v>84</v>
      </c>
      <c r="D23" s="4" t="s">
        <v>21</v>
      </c>
      <c r="G23" s="34" t="s">
        <v>27</v>
      </c>
      <c r="H23" s="35" t="s">
        <v>55</v>
      </c>
      <c r="I23" s="36"/>
      <c r="J23" s="37"/>
      <c r="K23" s="18"/>
      <c r="L23" s="25"/>
      <c r="M23" s="25"/>
    </row>
    <row r="24" spans="2:13">
      <c r="B24" s="4" t="s">
        <v>29</v>
      </c>
      <c r="C24" s="4">
        <f t="array" ref="C24">AVERAGE(IF($E$3:$E$20=B24,$H$3:$H$20))</f>
        <v>87</v>
      </c>
      <c r="D24" s="4">
        <v>2</v>
      </c>
      <c r="G24" s="34"/>
      <c r="H24" s="14" t="s">
        <v>58</v>
      </c>
      <c r="I24" s="14" t="s">
        <v>59</v>
      </c>
      <c r="J24" s="14" t="s">
        <v>20</v>
      </c>
      <c r="K24" s="18"/>
      <c r="L24" s="26"/>
      <c r="M24" s="27"/>
    </row>
    <row r="25" spans="2:13">
      <c r="B25" s="4" t="s">
        <v>28</v>
      </c>
      <c r="C25" s="4">
        <f t="array" ref="C25">AVERAGE(IF($E$3:$E$20=B25,$H$3:$H$20))</f>
        <v>79</v>
      </c>
      <c r="D25" s="4">
        <v>2</v>
      </c>
      <c r="G25" s="4" t="s">
        <v>29</v>
      </c>
      <c r="H25" s="4" t="str">
        <f t="array" ref="H25">INDEX($B$3:$B$20,MATCH(MAX(($E$3:$E$20=$G25)*F$3:F$20),($E$3:$E$20=$G25)*F$3:F$20,0))</f>
        <v>최봉근</v>
      </c>
      <c r="I25" s="4" t="str">
        <f t="array" ref="I25">INDEX($B$3:$B$20,MATCH(MAX(($E$3:$E$20=$G25)*G$3:G$20),($E$3:$E$20=$G25)*G$3:G$20,0))</f>
        <v>주혜진</v>
      </c>
      <c r="J25" s="4" t="str">
        <f t="array" ref="J25">INDEX($B$3:$B$20,MATCH(MAX(($E$3:$E$20=$G25)*H$3:H$20),($E$3:$E$20=$G25)*H$3:H$20,0))</f>
        <v>최봉근</v>
      </c>
      <c r="K25" s="18"/>
      <c r="L25" s="27"/>
    </row>
    <row r="26" spans="2:13">
      <c r="B26" s="4" t="s">
        <v>32</v>
      </c>
      <c r="C26" s="4">
        <f t="array" ref="C26">AVERAGE(IF($E$3:$E$20=B26,$H$3:$H$20))</f>
        <v>70</v>
      </c>
      <c r="D26" s="4">
        <v>3</v>
      </c>
      <c r="G26" s="4" t="s">
        <v>28</v>
      </c>
      <c r="H26" s="4" t="str">
        <f t="array" ref="H26">INDEX($B$3:$B$20,MATCH(MAX(($E$3:$E$20=$G26)*F$3:F$20),($E$3:$E$20=$G26)*F$3:F$20,0))</f>
        <v>유영빈</v>
      </c>
      <c r="I26" s="4" t="str">
        <f t="array" ref="I26">INDEX($B$3:$B$20,MATCH(MAX(($E$3:$E$20=$G26)*G$3:G$20),($E$3:$E$20=$G26)*G$3:G$20,0))</f>
        <v>김원상</v>
      </c>
      <c r="J26" s="4" t="str">
        <f t="array" ref="J26">INDEX($B$3:$B$20,MATCH(MAX(($E$3:$E$20=$G26)*H$3:H$20),($E$3:$E$20=$G26)*H$3:H$20,0))</f>
        <v>유영빈</v>
      </c>
      <c r="L26" s="27"/>
    </row>
    <row r="27" spans="2:13">
      <c r="B27" s="4" t="s">
        <v>30</v>
      </c>
      <c r="C27" s="4">
        <f t="array" ref="C27">AVERAGE(IF($E$3:$E$20=B27,$H$3:$H$20))</f>
        <v>83.4</v>
      </c>
      <c r="D27" s="4">
        <v>5</v>
      </c>
      <c r="G27" s="4" t="s">
        <v>32</v>
      </c>
      <c r="H27" s="4" t="str">
        <f t="array" ref="H27">INDEX($B$3:$B$20,MATCH(MAX(($E$3:$E$20=$G27)*F$3:F$20),($E$3:$E$20=$G27)*F$3:F$20,0))</f>
        <v>김현수</v>
      </c>
      <c r="I27" s="4" t="str">
        <f t="array" ref="I27">INDEX($B$3:$B$20,MATCH(MAX(($E$3:$E$20=$G27)*G$3:G$20),($E$3:$E$20=$G27)*G$3:G$20,0))</f>
        <v>김현수</v>
      </c>
      <c r="J27" s="4" t="str">
        <f t="array" ref="J27">INDEX($B$3:$B$20,MATCH(MAX(($E$3:$E$20=$G27)*H$3:H$20),($E$3:$E$20=$G27)*H$3:H$20,0))</f>
        <v>김현수</v>
      </c>
      <c r="L27" s="27"/>
    </row>
    <row r="28" spans="2:13">
      <c r="B28" s="4" t="s">
        <v>31</v>
      </c>
      <c r="C28" s="4">
        <f t="array" ref="C28">AVERAGE(IF($E$3:$E$20=B28,$H$3:$H$20))</f>
        <v>85</v>
      </c>
      <c r="D28" s="4">
        <v>6</v>
      </c>
      <c r="G28" s="4" t="s">
        <v>30</v>
      </c>
      <c r="H28" s="4" t="str">
        <f t="array" ref="H28">INDEX($B$3:$B$20,MATCH(MAX(($E$3:$E$20=$G28)*F$3:F$20),($E$3:$E$20=$G28)*F$3:F$20,0))</f>
        <v>이관형</v>
      </c>
      <c r="I28" s="4" t="str">
        <f t="array" ref="I28">INDEX($B$3:$B$20,MATCH(MAX(($E$3:$E$20=$G28)*G$3:G$20),($E$3:$E$20=$G28)*G$3:G$20,0))</f>
        <v>신재형</v>
      </c>
      <c r="J28" s="4" t="str">
        <f t="array" ref="J28">INDEX($B$3:$B$20,MATCH(MAX(($E$3:$E$20=$G28)*H$3:H$20),($E$3:$E$20=$G28)*H$3:H$20,0))</f>
        <v>신재형</v>
      </c>
      <c r="L28" s="27"/>
    </row>
    <row r="29" spans="2:13">
      <c r="B29" s="16"/>
      <c r="C29" s="16"/>
      <c r="D29" s="16"/>
      <c r="G29" s="4" t="s">
        <v>31</v>
      </c>
      <c r="H29" s="4" t="str">
        <f t="array" ref="H29">INDEX($B$3:$B$20,MATCH(MAX(($E$3:$E$20=$G29)*F$3:F$20),($E$3:$E$20=$G29)*F$3:F$20,0))</f>
        <v>윤순도</v>
      </c>
      <c r="I29" s="4" t="str">
        <f t="array" ref="I29">INDEX($B$3:$B$20,MATCH(MAX(($E$3:$E$20=$G29)*G$3:G$20),($E$3:$E$20=$G29)*G$3:G$20,0))</f>
        <v>박성진</v>
      </c>
      <c r="J29" s="4" t="str">
        <f t="array" ref="J29">INDEX($B$3:$B$20,MATCH(MAX(($E$3:$E$20=$G29)*H$3:H$20),($E$3:$E$20=$G29)*H$3:H$20,0))</f>
        <v>윤순도</v>
      </c>
      <c r="L29" s="27"/>
    </row>
  </sheetData>
  <mergeCells count="2">
    <mergeCell ref="G23:G24"/>
    <mergeCell ref="H23:J23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I3:I20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49"/>
  <sheetViews>
    <sheetView workbookViewId="0">
      <selection activeCell="D6" sqref="D6"/>
    </sheetView>
  </sheetViews>
  <sheetFormatPr defaultColWidth="8.88671875" defaultRowHeight="13.5"/>
  <cols>
    <col min="1" max="1" width="8.88671875" style="11"/>
    <col min="2" max="2" width="11.6640625" style="11" bestFit="1" customWidth="1"/>
    <col min="3" max="3" width="13.5546875" style="11" bestFit="1" customWidth="1"/>
    <col min="4" max="4" width="15.33203125" style="11" bestFit="1" customWidth="1"/>
    <col min="5" max="5" width="9.88671875" style="11" bestFit="1" customWidth="1"/>
    <col min="6" max="6" width="13.5546875" style="11" bestFit="1" customWidth="1"/>
    <col min="7" max="16384" width="8.88671875" style="11"/>
  </cols>
  <sheetData>
    <row r="2" spans="2:6">
      <c r="B2" s="29" t="s">
        <v>1</v>
      </c>
      <c r="C2" t="s">
        <v>161</v>
      </c>
    </row>
    <row r="4" spans="2:6">
      <c r="B4" s="29" t="s">
        <v>167</v>
      </c>
      <c r="C4" t="s">
        <v>164</v>
      </c>
      <c r="D4" t="s">
        <v>165</v>
      </c>
      <c r="E4" t="s">
        <v>166</v>
      </c>
      <c r="F4" t="s">
        <v>163</v>
      </c>
    </row>
    <row r="5" spans="2:6">
      <c r="B5" t="s">
        <v>158</v>
      </c>
      <c r="C5" s="30">
        <v>89.245454545454535</v>
      </c>
      <c r="D5" s="30">
        <v>87.909090909090907</v>
      </c>
      <c r="E5" s="30">
        <v>89.454545454545453</v>
      </c>
      <c r="F5" s="30">
        <v>9.2229785499768226</v>
      </c>
    </row>
    <row r="6" spans="2:6">
      <c r="B6" t="s">
        <v>159</v>
      </c>
      <c r="C6" s="30">
        <v>89.1</v>
      </c>
      <c r="D6" s="30">
        <v>92.625</v>
      </c>
      <c r="E6" s="30">
        <v>90.875</v>
      </c>
      <c r="F6" s="30">
        <v>14.100118202814258</v>
      </c>
    </row>
    <row r="7" spans="2:6">
      <c r="B7" t="s">
        <v>160</v>
      </c>
      <c r="C7" s="30">
        <v>91.91</v>
      </c>
      <c r="D7" s="30">
        <v>88.6</v>
      </c>
      <c r="E7" s="30">
        <v>85.6</v>
      </c>
      <c r="F7" s="30">
        <v>31.562688943328805</v>
      </c>
    </row>
    <row r="8" spans="2:6">
      <c r="B8" t="s">
        <v>157</v>
      </c>
      <c r="C8" s="30">
        <v>86.059999999999974</v>
      </c>
      <c r="D8" s="30">
        <v>89.2</v>
      </c>
      <c r="E8" s="30">
        <v>90.8</v>
      </c>
      <c r="F8" s="30">
        <v>36.170015205968802</v>
      </c>
    </row>
    <row r="9" spans="2:6">
      <c r="B9" t="s">
        <v>162</v>
      </c>
      <c r="C9" s="30">
        <v>88.738636363636388</v>
      </c>
      <c r="D9" s="30">
        <v>89.36363636363636</v>
      </c>
      <c r="E9" s="30">
        <v>89.295454545454547</v>
      </c>
      <c r="F9" s="30">
        <v>15.085865349170977</v>
      </c>
    </row>
    <row r="10" spans="2:6">
      <c r="B10"/>
      <c r="C10"/>
      <c r="D10"/>
      <c r="E10"/>
      <c r="F10"/>
    </row>
    <row r="11" spans="2:6">
      <c r="B11"/>
      <c r="C11"/>
      <c r="D11"/>
      <c r="E11"/>
      <c r="F11"/>
    </row>
    <row r="12" spans="2:6">
      <c r="B12"/>
      <c r="C12"/>
      <c r="D12"/>
      <c r="E12"/>
      <c r="F12"/>
    </row>
    <row r="13" spans="2:6">
      <c r="B13"/>
      <c r="C13"/>
      <c r="D13"/>
      <c r="E13"/>
      <c r="F13"/>
    </row>
    <row r="14" spans="2:6">
      <c r="B14"/>
      <c r="C14"/>
      <c r="D14"/>
      <c r="E14"/>
      <c r="F14"/>
    </row>
    <row r="15" spans="2:6">
      <c r="B15"/>
      <c r="C15"/>
      <c r="D15"/>
      <c r="E15"/>
      <c r="F15"/>
    </row>
    <row r="16" spans="2:6">
      <c r="B16"/>
      <c r="C16"/>
      <c r="D16"/>
      <c r="E16"/>
      <c r="F16"/>
    </row>
    <row r="17" spans="2:6">
      <c r="B17"/>
      <c r="C17"/>
      <c r="D17"/>
      <c r="E17"/>
      <c r="F17"/>
    </row>
    <row r="18" spans="2:6">
      <c r="B18"/>
      <c r="C18"/>
      <c r="D18"/>
      <c r="E18"/>
      <c r="F18"/>
    </row>
    <row r="19" spans="2:6">
      <c r="B19"/>
      <c r="C19"/>
      <c r="D19"/>
      <c r="E19"/>
      <c r="F19"/>
    </row>
    <row r="20" spans="2:6">
      <c r="B20"/>
      <c r="C20"/>
      <c r="D20"/>
      <c r="E20"/>
      <c r="F20"/>
    </row>
    <row r="21" spans="2:6">
      <c r="B21"/>
      <c r="C21"/>
      <c r="D21"/>
      <c r="E21"/>
      <c r="F21"/>
    </row>
    <row r="22" spans="2:6">
      <c r="B22"/>
      <c r="C22"/>
      <c r="D22"/>
      <c r="E22"/>
      <c r="F22"/>
    </row>
    <row r="23" spans="2:6">
      <c r="B23"/>
      <c r="C23"/>
      <c r="D23"/>
      <c r="E23"/>
      <c r="F23"/>
    </row>
    <row r="24" spans="2:6">
      <c r="B24"/>
      <c r="C24"/>
      <c r="D24"/>
      <c r="E24"/>
      <c r="F24"/>
    </row>
    <row r="25" spans="2:6">
      <c r="B25"/>
      <c r="C25"/>
      <c r="D25"/>
      <c r="E25"/>
      <c r="F25"/>
    </row>
    <row r="26" spans="2:6">
      <c r="B26"/>
      <c r="C26"/>
      <c r="D26"/>
      <c r="E26"/>
      <c r="F26"/>
    </row>
    <row r="27" spans="2:6">
      <c r="B27"/>
      <c r="C27"/>
      <c r="D27"/>
      <c r="E27"/>
      <c r="F27"/>
    </row>
    <row r="28" spans="2:6">
      <c r="B28"/>
      <c r="C28"/>
      <c r="D28"/>
      <c r="E28"/>
      <c r="F28"/>
    </row>
    <row r="29" spans="2:6">
      <c r="B29"/>
      <c r="C29"/>
      <c r="D29"/>
      <c r="E29"/>
      <c r="F29"/>
    </row>
    <row r="30" spans="2:6">
      <c r="B30"/>
      <c r="C30"/>
      <c r="D30"/>
      <c r="E30"/>
      <c r="F30"/>
    </row>
    <row r="31" spans="2:6">
      <c r="B31"/>
      <c r="C31"/>
      <c r="D31"/>
      <c r="E31"/>
      <c r="F31"/>
    </row>
    <row r="32" spans="2:6">
      <c r="B32"/>
      <c r="C32"/>
      <c r="D32"/>
      <c r="E32"/>
      <c r="F32"/>
    </row>
    <row r="33" spans="2:6">
      <c r="B33"/>
      <c r="C33"/>
      <c r="D33"/>
      <c r="E33"/>
      <c r="F33"/>
    </row>
    <row r="34" spans="2:6">
      <c r="B34"/>
      <c r="C34"/>
      <c r="D34"/>
      <c r="E34"/>
      <c r="F34"/>
    </row>
    <row r="35" spans="2:6">
      <c r="B35"/>
      <c r="C35"/>
      <c r="D35"/>
      <c r="E35"/>
      <c r="F35"/>
    </row>
    <row r="36" spans="2:6">
      <c r="B36"/>
      <c r="C36"/>
      <c r="D36"/>
      <c r="E36"/>
      <c r="F36"/>
    </row>
    <row r="37" spans="2:6">
      <c r="B37"/>
      <c r="C37"/>
      <c r="D37"/>
      <c r="E37"/>
      <c r="F37"/>
    </row>
    <row r="38" spans="2:6">
      <c r="B38"/>
      <c r="C38"/>
      <c r="D38"/>
      <c r="E38"/>
      <c r="F38"/>
    </row>
    <row r="39" spans="2:6">
      <c r="B39"/>
      <c r="C39"/>
      <c r="D39"/>
      <c r="E39"/>
      <c r="F39"/>
    </row>
    <row r="40" spans="2:6">
      <c r="B40"/>
      <c r="C40"/>
      <c r="D40"/>
      <c r="E40"/>
      <c r="F40"/>
    </row>
    <row r="41" spans="2:6">
      <c r="B41"/>
      <c r="C41"/>
      <c r="D41"/>
      <c r="E41"/>
      <c r="F41"/>
    </row>
    <row r="42" spans="2:6">
      <c r="B42"/>
      <c r="C42"/>
      <c r="D42"/>
      <c r="E42"/>
      <c r="F42"/>
    </row>
    <row r="43" spans="2:6">
      <c r="B43"/>
      <c r="C43"/>
      <c r="D43"/>
      <c r="E43"/>
      <c r="F43"/>
    </row>
    <row r="44" spans="2:6">
      <c r="B44"/>
      <c r="C44"/>
      <c r="D44"/>
      <c r="E44"/>
      <c r="F44"/>
    </row>
    <row r="45" spans="2:6">
      <c r="B45"/>
      <c r="C45"/>
      <c r="D45"/>
      <c r="E45"/>
      <c r="F45"/>
    </row>
    <row r="46" spans="2:6">
      <c r="B46"/>
      <c r="C46"/>
      <c r="D46"/>
      <c r="E46"/>
      <c r="F46"/>
    </row>
    <row r="47" spans="2:6">
      <c r="B47"/>
      <c r="C47"/>
      <c r="D47"/>
      <c r="E47"/>
      <c r="F47"/>
    </row>
    <row r="48" spans="2:6">
      <c r="B48"/>
      <c r="C48"/>
      <c r="D48"/>
      <c r="E48"/>
      <c r="F48"/>
    </row>
    <row r="49" spans="2:6">
      <c r="B49"/>
      <c r="C49"/>
      <c r="D49"/>
      <c r="E49"/>
      <c r="F4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 filterMode="1"/>
  <dimension ref="B2:H21"/>
  <sheetViews>
    <sheetView workbookViewId="0">
      <selection activeCell="L13" sqref="L13"/>
    </sheetView>
  </sheetViews>
  <sheetFormatPr defaultColWidth="8.88671875" defaultRowHeight="13.5"/>
  <cols>
    <col min="1" max="16384" width="8.88671875" style="11"/>
  </cols>
  <sheetData>
    <row r="2" spans="2:8">
      <c r="B2" s="11" t="s">
        <v>35</v>
      </c>
    </row>
    <row r="4" spans="2:8">
      <c r="B4" s="12" t="s">
        <v>34</v>
      </c>
      <c r="C4" s="12" t="s">
        <v>67</v>
      </c>
      <c r="D4" s="13" t="s">
        <v>27</v>
      </c>
      <c r="E4" s="12" t="s">
        <v>85</v>
      </c>
      <c r="F4" s="12" t="s">
        <v>86</v>
      </c>
      <c r="G4" s="12" t="s">
        <v>20</v>
      </c>
      <c r="H4" s="13" t="s">
        <v>87</v>
      </c>
    </row>
    <row r="5" spans="2:8">
      <c r="B5" s="4" t="s">
        <v>105</v>
      </c>
      <c r="C5" s="5" t="s">
        <v>16</v>
      </c>
      <c r="D5" s="4" t="s">
        <v>31</v>
      </c>
      <c r="E5" s="4">
        <v>87</v>
      </c>
      <c r="F5" s="4">
        <v>87</v>
      </c>
      <c r="G5" s="6">
        <v>94</v>
      </c>
      <c r="H5" s="4">
        <f t="shared" ref="H5:H21" si="0">SUM(E5:G5)</f>
        <v>268</v>
      </c>
    </row>
    <row r="6" spans="2:8">
      <c r="B6" s="4" t="s">
        <v>106</v>
      </c>
      <c r="C6" s="5" t="s">
        <v>24</v>
      </c>
      <c r="D6" s="4" t="s">
        <v>31</v>
      </c>
      <c r="E6" s="4">
        <v>90</v>
      </c>
      <c r="F6" s="4">
        <v>90</v>
      </c>
      <c r="G6" s="6">
        <v>90</v>
      </c>
      <c r="H6" s="4">
        <f t="shared" si="0"/>
        <v>270</v>
      </c>
    </row>
    <row r="7" spans="2:8" hidden="1">
      <c r="B7" s="4" t="s">
        <v>107</v>
      </c>
      <c r="C7" s="5" t="s">
        <v>17</v>
      </c>
      <c r="D7" s="4" t="s">
        <v>29</v>
      </c>
      <c r="E7" s="4">
        <v>57</v>
      </c>
      <c r="F7" s="4">
        <v>83</v>
      </c>
      <c r="G7" s="6">
        <v>91</v>
      </c>
      <c r="H7" s="4">
        <f t="shared" si="0"/>
        <v>231</v>
      </c>
    </row>
    <row r="8" spans="2:8" hidden="1">
      <c r="B8" s="4" t="s">
        <v>108</v>
      </c>
      <c r="C8" s="5" t="s">
        <v>11</v>
      </c>
      <c r="D8" s="4" t="s">
        <v>29</v>
      </c>
      <c r="E8" s="4">
        <v>95</v>
      </c>
      <c r="F8" s="4">
        <v>77</v>
      </c>
      <c r="G8" s="6">
        <v>98</v>
      </c>
      <c r="H8" s="4">
        <f t="shared" si="0"/>
        <v>270</v>
      </c>
    </row>
    <row r="9" spans="2:8">
      <c r="B9" s="4" t="s">
        <v>109</v>
      </c>
      <c r="C9" s="5" t="s">
        <v>24</v>
      </c>
      <c r="D9" s="4" t="s">
        <v>31</v>
      </c>
      <c r="E9" s="4">
        <v>90</v>
      </c>
      <c r="F9" s="4">
        <v>88</v>
      </c>
      <c r="G9" s="6">
        <v>95</v>
      </c>
      <c r="H9" s="4">
        <f t="shared" si="0"/>
        <v>273</v>
      </c>
    </row>
    <row r="10" spans="2:8">
      <c r="B10" s="4" t="s">
        <v>110</v>
      </c>
      <c r="C10" s="5" t="s">
        <v>24</v>
      </c>
      <c r="D10" s="4" t="s">
        <v>31</v>
      </c>
      <c r="E10" s="4">
        <v>86</v>
      </c>
      <c r="F10" s="4">
        <v>89</v>
      </c>
      <c r="G10" s="6">
        <v>86</v>
      </c>
      <c r="H10" s="4">
        <f t="shared" si="0"/>
        <v>261</v>
      </c>
    </row>
    <row r="11" spans="2:8" hidden="1">
      <c r="B11" s="4" t="s">
        <v>111</v>
      </c>
      <c r="C11" s="5" t="s">
        <v>17</v>
      </c>
      <c r="D11" s="4" t="s">
        <v>32</v>
      </c>
      <c r="E11" s="4">
        <v>95</v>
      </c>
      <c r="F11" s="4">
        <v>91</v>
      </c>
      <c r="G11" s="6">
        <v>82</v>
      </c>
      <c r="H11" s="4">
        <f t="shared" si="0"/>
        <v>268</v>
      </c>
    </row>
    <row r="12" spans="2:8" hidden="1">
      <c r="B12" s="4" t="s">
        <v>112</v>
      </c>
      <c r="C12" s="5" t="s">
        <v>25</v>
      </c>
      <c r="D12" s="4" t="s">
        <v>30</v>
      </c>
      <c r="E12" s="4">
        <v>95</v>
      </c>
      <c r="F12" s="4">
        <v>80</v>
      </c>
      <c r="G12" s="6">
        <v>80</v>
      </c>
      <c r="H12" s="4">
        <f t="shared" si="0"/>
        <v>255</v>
      </c>
    </row>
    <row r="13" spans="2:8" hidden="1">
      <c r="B13" s="4" t="s">
        <v>113</v>
      </c>
      <c r="C13" s="5" t="s">
        <v>25</v>
      </c>
      <c r="D13" s="4" t="s">
        <v>30</v>
      </c>
      <c r="E13" s="4">
        <v>88</v>
      </c>
      <c r="F13" s="4">
        <v>80</v>
      </c>
      <c r="G13" s="6">
        <v>88</v>
      </c>
      <c r="H13" s="4">
        <f t="shared" si="0"/>
        <v>256</v>
      </c>
    </row>
    <row r="14" spans="2:8" hidden="1">
      <c r="B14" s="4" t="s">
        <v>114</v>
      </c>
      <c r="C14" s="5" t="s">
        <v>24</v>
      </c>
      <c r="D14" s="4" t="s">
        <v>65</v>
      </c>
      <c r="E14" s="4">
        <v>95</v>
      </c>
      <c r="F14" s="4">
        <v>89</v>
      </c>
      <c r="G14" s="6">
        <v>92</v>
      </c>
      <c r="H14" s="4">
        <f t="shared" si="0"/>
        <v>276</v>
      </c>
    </row>
    <row r="15" spans="2:8">
      <c r="B15" s="4" t="s">
        <v>115</v>
      </c>
      <c r="C15" s="5" t="s">
        <v>25</v>
      </c>
      <c r="D15" s="4" t="s">
        <v>31</v>
      </c>
      <c r="E15" s="4">
        <v>78</v>
      </c>
      <c r="F15" s="4">
        <v>87</v>
      </c>
      <c r="G15" s="6">
        <v>87</v>
      </c>
      <c r="H15" s="4">
        <f t="shared" si="0"/>
        <v>252</v>
      </c>
    </row>
    <row r="16" spans="2:8">
      <c r="B16" s="4" t="s">
        <v>116</v>
      </c>
      <c r="C16" s="5" t="s">
        <v>26</v>
      </c>
      <c r="D16" s="4" t="s">
        <v>31</v>
      </c>
      <c r="E16" s="4">
        <v>92</v>
      </c>
      <c r="F16" s="4">
        <v>95</v>
      </c>
      <c r="G16" s="4">
        <v>90</v>
      </c>
      <c r="H16" s="4">
        <f t="shared" si="0"/>
        <v>277</v>
      </c>
    </row>
    <row r="17" spans="2:8" hidden="1">
      <c r="B17" s="4" t="s">
        <v>117</v>
      </c>
      <c r="C17" s="5" t="s">
        <v>24</v>
      </c>
      <c r="D17" s="4" t="s">
        <v>30</v>
      </c>
      <c r="E17" s="4">
        <v>95</v>
      </c>
      <c r="F17" s="4">
        <v>80</v>
      </c>
      <c r="G17" s="6">
        <v>87</v>
      </c>
      <c r="H17" s="4">
        <f t="shared" si="0"/>
        <v>262</v>
      </c>
    </row>
    <row r="18" spans="2:8" hidden="1">
      <c r="B18" s="4" t="s">
        <v>118</v>
      </c>
      <c r="C18" s="5" t="s">
        <v>17</v>
      </c>
      <c r="D18" s="4" t="s">
        <v>28</v>
      </c>
      <c r="E18" s="4">
        <v>99</v>
      </c>
      <c r="F18" s="4">
        <v>67</v>
      </c>
      <c r="G18" s="6">
        <v>90</v>
      </c>
      <c r="H18" s="4">
        <f t="shared" si="0"/>
        <v>256</v>
      </c>
    </row>
    <row r="19" spans="2:8" hidden="1">
      <c r="B19" s="4" t="s">
        <v>119</v>
      </c>
      <c r="C19" s="5" t="s">
        <v>17</v>
      </c>
      <c r="D19" s="4" t="s">
        <v>32</v>
      </c>
      <c r="E19" s="4">
        <v>88</v>
      </c>
      <c r="F19" s="4">
        <v>82</v>
      </c>
      <c r="G19" s="6">
        <v>87</v>
      </c>
      <c r="H19" s="4">
        <f t="shared" si="0"/>
        <v>257</v>
      </c>
    </row>
    <row r="20" spans="2:8" hidden="1">
      <c r="B20" s="4" t="s">
        <v>120</v>
      </c>
      <c r="C20" s="5" t="s">
        <v>11</v>
      </c>
      <c r="D20" s="4" t="s">
        <v>28</v>
      </c>
      <c r="E20" s="4">
        <v>85</v>
      </c>
      <c r="F20" s="4">
        <v>70</v>
      </c>
      <c r="G20" s="6">
        <v>78</v>
      </c>
      <c r="H20" s="4">
        <f t="shared" si="0"/>
        <v>233</v>
      </c>
    </row>
    <row r="21" spans="2:8" hidden="1">
      <c r="B21" s="4" t="s">
        <v>121</v>
      </c>
      <c r="C21" s="5" t="s">
        <v>11</v>
      </c>
      <c r="D21" s="4" t="s">
        <v>28</v>
      </c>
      <c r="E21" s="4">
        <v>85</v>
      </c>
      <c r="F21" s="4">
        <v>80</v>
      </c>
      <c r="G21" s="6">
        <v>88</v>
      </c>
      <c r="H21" s="4">
        <f t="shared" si="0"/>
        <v>253</v>
      </c>
    </row>
  </sheetData>
  <autoFilter ref="B4:H21" xr:uid="{00000000-0009-0000-0000-000004000000}">
    <filterColumn colId="2">
      <filters>
        <filter val="사원"/>
      </filters>
    </filterColumn>
  </autoFilter>
  <sortState xmlns:xlrd2="http://schemas.microsoft.com/office/spreadsheetml/2017/richdata2" ref="B8:H24">
    <sortCondition ref="D7"/>
  </sortState>
  <phoneticPr fontId="2" type="noConversion"/>
  <conditionalFormatting sqref="B5:B15 C5:C17">
    <cfRule type="expression" dxfId="7" priority="1" stopIfTrue="1">
      <formula>AND(MID($B5,2,2)="98",$E5="기술지원부",#REF!&gt;=95)</formula>
    </cfRule>
  </conditionalFormatting>
  <dataValidations count="1">
    <dataValidation type="list" errorStyle="warning" allowBlank="1" showInputMessage="1" showErrorMessage="1" errorTitle="직위오류" error="직위목록에 없는 내용입니다. 확인하시기 바랍니다." promptTitle="직위" prompt="과장/부장/대리/팀장/주임/사원" sqref="D5:D21" xr:uid="{00000000-0002-0000-0400-000000000000}">
      <formula1>"과장,부장,대리,팀장,주임,사원"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G11"/>
  <sheetViews>
    <sheetView workbookViewId="0">
      <selection activeCell="B2" sqref="B2"/>
    </sheetView>
  </sheetViews>
  <sheetFormatPr defaultColWidth="8.88671875" defaultRowHeight="13.5"/>
  <cols>
    <col min="1" max="16384" width="8.88671875" style="11"/>
  </cols>
  <sheetData>
    <row r="2" spans="2:7" ht="17.25">
      <c r="B2" s="9" t="s">
        <v>104</v>
      </c>
      <c r="C2" s="10"/>
      <c r="D2" s="10"/>
      <c r="E2" s="10"/>
      <c r="F2" s="10"/>
      <c r="G2" s="10"/>
    </row>
    <row r="4" spans="2:7">
      <c r="B4" s="4" t="s">
        <v>34</v>
      </c>
      <c r="C4" s="4" t="s">
        <v>67</v>
      </c>
      <c r="D4" s="4" t="s">
        <v>27</v>
      </c>
      <c r="E4" s="4" t="s">
        <v>69</v>
      </c>
      <c r="F4" s="4" t="s">
        <v>81</v>
      </c>
      <c r="G4" s="4" t="s">
        <v>20</v>
      </c>
    </row>
    <row r="5" spans="2:7">
      <c r="B5" s="4" t="s">
        <v>78</v>
      </c>
      <c r="C5" s="4" t="s">
        <v>11</v>
      </c>
      <c r="D5" s="4" t="s">
        <v>31</v>
      </c>
      <c r="E5" s="4">
        <v>780</v>
      </c>
      <c r="F5" s="4">
        <v>70</v>
      </c>
      <c r="G5" s="6">
        <v>78</v>
      </c>
    </row>
    <row r="6" spans="2:7">
      <c r="B6" s="4" t="s">
        <v>79</v>
      </c>
      <c r="C6" s="4" t="s">
        <v>11</v>
      </c>
      <c r="D6" s="4" t="s">
        <v>31</v>
      </c>
      <c r="E6" s="4">
        <v>890</v>
      </c>
      <c r="F6" s="4">
        <v>80</v>
      </c>
      <c r="G6" s="6">
        <v>88</v>
      </c>
    </row>
    <row r="7" spans="2:7">
      <c r="B7" s="4" t="s">
        <v>76</v>
      </c>
      <c r="C7" s="4" t="s">
        <v>24</v>
      </c>
      <c r="D7" s="4" t="s">
        <v>31</v>
      </c>
      <c r="E7" s="4">
        <v>987</v>
      </c>
      <c r="F7" s="4">
        <v>90</v>
      </c>
      <c r="G7" s="6">
        <v>90</v>
      </c>
    </row>
    <row r="8" spans="2:7">
      <c r="B8" s="4" t="s">
        <v>75</v>
      </c>
      <c r="C8" s="4" t="s">
        <v>24</v>
      </c>
      <c r="D8" s="4" t="s">
        <v>30</v>
      </c>
      <c r="E8" s="4">
        <v>927</v>
      </c>
      <c r="F8" s="4">
        <v>80</v>
      </c>
      <c r="G8" s="6">
        <v>87</v>
      </c>
    </row>
    <row r="9" spans="2:7">
      <c r="B9" s="4" t="s">
        <v>18</v>
      </c>
      <c r="C9" s="4" t="s">
        <v>17</v>
      </c>
      <c r="D9" s="4" t="s">
        <v>32</v>
      </c>
      <c r="E9" s="4">
        <v>789</v>
      </c>
      <c r="F9" s="4">
        <v>91</v>
      </c>
      <c r="G9" s="6">
        <v>82</v>
      </c>
    </row>
    <row r="10" spans="2:7">
      <c r="B10" s="4" t="s">
        <v>77</v>
      </c>
      <c r="C10" s="4" t="s">
        <v>17</v>
      </c>
      <c r="D10" s="4" t="s">
        <v>32</v>
      </c>
      <c r="E10" s="4">
        <v>919</v>
      </c>
      <c r="F10" s="4">
        <v>83</v>
      </c>
      <c r="G10" s="6">
        <v>91</v>
      </c>
    </row>
    <row r="11" spans="2:7">
      <c r="B11" s="4" t="s">
        <v>80</v>
      </c>
      <c r="C11" s="4" t="s">
        <v>17</v>
      </c>
      <c r="D11" s="4" t="s">
        <v>30</v>
      </c>
      <c r="E11" s="4">
        <v>890</v>
      </c>
      <c r="F11" s="4">
        <v>67</v>
      </c>
      <c r="G11" s="6">
        <v>90</v>
      </c>
    </row>
  </sheetData>
  <phoneticPr fontId="2" type="noConversion"/>
  <conditionalFormatting sqref="B5:C11">
    <cfRule type="expression" dxfId="6" priority="1" stopIfTrue="1">
      <formula>AND(MID($B5,2,2)="98",$E5="기술지원부",#REF!&gt;=95)</formula>
    </cfRule>
  </conditionalFormatting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2"/>
  <sheetViews>
    <sheetView workbookViewId="0">
      <selection activeCell="I37" sqref="I37"/>
    </sheetView>
  </sheetViews>
  <sheetFormatPr defaultRowHeight="13.5"/>
  <sheetData>
    <row r="1" spans="1:6" ht="16.5">
      <c r="A1" s="2" t="s">
        <v>83</v>
      </c>
    </row>
    <row r="5" spans="1:6">
      <c r="A5" s="4" t="s">
        <v>34</v>
      </c>
      <c r="B5" s="4" t="s">
        <v>67</v>
      </c>
      <c r="C5" s="4" t="s">
        <v>27</v>
      </c>
      <c r="D5" s="4" t="s">
        <v>69</v>
      </c>
      <c r="E5" s="4" t="s">
        <v>82</v>
      </c>
      <c r="F5" s="4" t="s">
        <v>20</v>
      </c>
    </row>
    <row r="6" spans="1:6">
      <c r="A6" s="4" t="s">
        <v>122</v>
      </c>
      <c r="B6" s="5" t="s">
        <v>11</v>
      </c>
      <c r="C6" s="4" t="s">
        <v>31</v>
      </c>
      <c r="D6" s="4">
        <v>780</v>
      </c>
      <c r="E6" s="4">
        <v>70</v>
      </c>
      <c r="F6" s="32">
        <v>78</v>
      </c>
    </row>
    <row r="7" spans="1:6">
      <c r="A7" s="4" t="s">
        <v>123</v>
      </c>
      <c r="B7" s="5" t="s">
        <v>11</v>
      </c>
      <c r="C7" s="4" t="s">
        <v>31</v>
      </c>
      <c r="D7" s="4">
        <v>890</v>
      </c>
      <c r="E7" s="4">
        <v>80</v>
      </c>
      <c r="F7" s="32">
        <v>88</v>
      </c>
    </row>
    <row r="8" spans="1:6">
      <c r="A8" s="4" t="s">
        <v>124</v>
      </c>
      <c r="B8" s="5" t="s">
        <v>24</v>
      </c>
      <c r="C8" s="4" t="s">
        <v>31</v>
      </c>
      <c r="D8" s="4">
        <v>987</v>
      </c>
      <c r="E8" s="4">
        <v>90</v>
      </c>
      <c r="F8" s="32">
        <v>90</v>
      </c>
    </row>
    <row r="9" spans="1:6">
      <c r="A9" s="4" t="s">
        <v>125</v>
      </c>
      <c r="B9" s="5" t="s">
        <v>24</v>
      </c>
      <c r="C9" s="4" t="s">
        <v>30</v>
      </c>
      <c r="D9" s="4">
        <v>927</v>
      </c>
      <c r="E9" s="4">
        <v>80</v>
      </c>
      <c r="F9" s="32">
        <v>87</v>
      </c>
    </row>
    <row r="10" spans="1:6">
      <c r="A10" s="4" t="s">
        <v>126</v>
      </c>
      <c r="B10" s="5" t="s">
        <v>17</v>
      </c>
      <c r="C10" s="4" t="s">
        <v>32</v>
      </c>
      <c r="D10" s="4">
        <v>789</v>
      </c>
      <c r="E10" s="4">
        <v>91</v>
      </c>
      <c r="F10" s="32">
        <v>82</v>
      </c>
    </row>
    <row r="11" spans="1:6">
      <c r="A11" s="4" t="s">
        <v>127</v>
      </c>
      <c r="B11" s="5" t="s">
        <v>17</v>
      </c>
      <c r="C11" s="4" t="s">
        <v>32</v>
      </c>
      <c r="D11" s="4">
        <v>919</v>
      </c>
      <c r="E11" s="4">
        <v>83</v>
      </c>
      <c r="F11" s="32">
        <v>91</v>
      </c>
    </row>
    <row r="12" spans="1:6">
      <c r="A12" s="4" t="s">
        <v>128</v>
      </c>
      <c r="B12" s="5" t="s">
        <v>17</v>
      </c>
      <c r="C12" s="4" t="s">
        <v>30</v>
      </c>
      <c r="D12" s="4">
        <v>890</v>
      </c>
      <c r="E12" s="4">
        <v>67</v>
      </c>
      <c r="F12" s="32">
        <v>90</v>
      </c>
    </row>
    <row r="13" spans="1:6">
      <c r="A13" s="4" t="s">
        <v>129</v>
      </c>
      <c r="B13" s="5" t="s">
        <v>11</v>
      </c>
      <c r="C13" s="4" t="s">
        <v>31</v>
      </c>
      <c r="D13" s="7">
        <v>895</v>
      </c>
      <c r="E13" s="7">
        <v>80</v>
      </c>
      <c r="F13" s="32">
        <v>80</v>
      </c>
    </row>
    <row r="14" spans="1:6">
      <c r="A14" s="4" t="s">
        <v>130</v>
      </c>
      <c r="B14" s="5" t="s">
        <v>11</v>
      </c>
      <c r="C14" s="4" t="s">
        <v>65</v>
      </c>
      <c r="D14" s="7">
        <v>782</v>
      </c>
      <c r="E14" s="7">
        <v>78</v>
      </c>
      <c r="F14" s="32">
        <v>77</v>
      </c>
    </row>
    <row r="15" spans="1:6">
      <c r="A15" s="4" t="s">
        <v>131</v>
      </c>
      <c r="B15" s="5" t="s">
        <v>11</v>
      </c>
      <c r="C15" s="4" t="s">
        <v>30</v>
      </c>
      <c r="D15" s="7">
        <v>786</v>
      </c>
      <c r="E15" s="7">
        <v>89</v>
      </c>
      <c r="F15" s="32">
        <v>86</v>
      </c>
    </row>
    <row r="16" spans="1:6">
      <c r="A16" s="4" t="s">
        <v>132</v>
      </c>
      <c r="B16" s="5" t="s">
        <v>12</v>
      </c>
      <c r="C16" s="4" t="s">
        <v>30</v>
      </c>
      <c r="D16" s="7">
        <v>895</v>
      </c>
      <c r="E16" s="7">
        <v>91</v>
      </c>
      <c r="F16" s="32">
        <v>82</v>
      </c>
    </row>
    <row r="17" spans="1:6">
      <c r="A17" s="4" t="s">
        <v>133</v>
      </c>
      <c r="B17" s="5" t="s">
        <v>15</v>
      </c>
      <c r="C17" s="4" t="s">
        <v>32</v>
      </c>
      <c r="D17" s="7">
        <v>788</v>
      </c>
      <c r="E17" s="7">
        <v>80</v>
      </c>
      <c r="F17" s="32">
        <v>88</v>
      </c>
    </row>
    <row r="18" spans="1:6">
      <c r="A18" s="4" t="s">
        <v>134</v>
      </c>
      <c r="B18" s="5" t="s">
        <v>15</v>
      </c>
      <c r="C18" s="4" t="s">
        <v>30</v>
      </c>
      <c r="D18" s="7">
        <v>893</v>
      </c>
      <c r="E18" s="7">
        <v>90</v>
      </c>
      <c r="F18" s="32">
        <v>92</v>
      </c>
    </row>
    <row r="19" spans="1:6">
      <c r="A19" s="4" t="s">
        <v>135</v>
      </c>
      <c r="B19" s="5" t="s">
        <v>16</v>
      </c>
      <c r="C19" s="4" t="s">
        <v>31</v>
      </c>
      <c r="D19" s="7">
        <v>877</v>
      </c>
      <c r="E19" s="7">
        <v>87</v>
      </c>
      <c r="F19" s="32">
        <v>86</v>
      </c>
    </row>
    <row r="20" spans="1:6">
      <c r="A20" s="4" t="s">
        <v>136</v>
      </c>
      <c r="B20" s="5" t="s">
        <v>17</v>
      </c>
      <c r="C20" s="4" t="s">
        <v>30</v>
      </c>
      <c r="D20" s="7">
        <v>760</v>
      </c>
      <c r="E20" s="7">
        <v>78</v>
      </c>
      <c r="F20" s="33">
        <v>77</v>
      </c>
    </row>
    <row r="21" spans="1:6">
      <c r="A21" s="4" t="s">
        <v>137</v>
      </c>
      <c r="B21" s="5" t="s">
        <v>17</v>
      </c>
      <c r="C21" s="4" t="s">
        <v>32</v>
      </c>
      <c r="D21" s="7">
        <v>774</v>
      </c>
      <c r="E21" s="7">
        <v>64</v>
      </c>
      <c r="F21" s="32">
        <v>63</v>
      </c>
    </row>
    <row r="22" spans="1:6">
      <c r="A22" s="11"/>
      <c r="B22" s="11"/>
      <c r="C22" s="11"/>
      <c r="D22" s="11"/>
      <c r="E22" s="11"/>
      <c r="F22" s="11"/>
    </row>
  </sheetData>
  <phoneticPr fontId="2" type="noConversion"/>
  <conditionalFormatting sqref="A13:A14">
    <cfRule type="expression" dxfId="5" priority="1" stopIfTrue="1">
      <formula>AND(MID($A13,2,2)="98",$E13="기술지원부",#REF!&gt;=95)</formula>
    </cfRule>
  </conditionalFormatting>
  <conditionalFormatting sqref="A6:B12">
    <cfRule type="expression" dxfId="4" priority="2" stopIfTrue="1">
      <formula>AND(MID($A6,2,2)="98",$D6="기술지원부",#REF!&gt;=95)</formula>
    </cfRule>
  </conditionalFormatting>
  <conditionalFormatting sqref="B13:B21">
    <cfRule type="expression" dxfId="3" priority="3" stopIfTrue="1">
      <formula>AND(MID($A13,2,2)="98",$C13="기술지원부",$I25&gt;=95)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승진여부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승진점수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J19"/>
  <sheetViews>
    <sheetView workbookViewId="0">
      <selection activeCell="H14" sqref="H14"/>
    </sheetView>
  </sheetViews>
  <sheetFormatPr defaultColWidth="8.77734375" defaultRowHeight="16.5"/>
  <cols>
    <col min="1" max="9" width="8.77734375" style="1"/>
    <col min="10" max="10" width="8.88671875" style="3" customWidth="1"/>
    <col min="11" max="16384" width="8.77734375" style="1"/>
  </cols>
  <sheetData>
    <row r="1" spans="1:10">
      <c r="A1" s="2" t="s">
        <v>83</v>
      </c>
    </row>
    <row r="3" spans="1:10">
      <c r="A3" s="4" t="s">
        <v>66</v>
      </c>
      <c r="B3" s="4" t="s">
        <v>67</v>
      </c>
      <c r="C3" s="4" t="s">
        <v>68</v>
      </c>
      <c r="D3" s="4" t="s">
        <v>69</v>
      </c>
      <c r="E3" s="4" t="s">
        <v>82</v>
      </c>
      <c r="F3" s="4" t="s">
        <v>70</v>
      </c>
      <c r="I3" s="3"/>
      <c r="J3" s="1"/>
    </row>
    <row r="4" spans="1:10">
      <c r="A4" s="4" t="s">
        <v>122</v>
      </c>
      <c r="B4" s="5" t="s">
        <v>11</v>
      </c>
      <c r="C4" s="4" t="s">
        <v>71</v>
      </c>
      <c r="D4" s="4">
        <v>780</v>
      </c>
      <c r="E4" s="4">
        <v>70</v>
      </c>
      <c r="F4" s="6">
        <v>78</v>
      </c>
      <c r="J4" s="1"/>
    </row>
    <row r="5" spans="1:10">
      <c r="A5" s="4" t="s">
        <v>123</v>
      </c>
      <c r="B5" s="5" t="s">
        <v>11</v>
      </c>
      <c r="C5" s="4" t="s">
        <v>71</v>
      </c>
      <c r="D5" s="4">
        <v>890</v>
      </c>
      <c r="E5" s="4">
        <v>80</v>
      </c>
      <c r="F5" s="6">
        <v>88</v>
      </c>
      <c r="J5" s="1"/>
    </row>
    <row r="6" spans="1:10">
      <c r="A6" s="4" t="s">
        <v>124</v>
      </c>
      <c r="B6" s="5" t="s">
        <v>72</v>
      </c>
      <c r="C6" s="4" t="s">
        <v>71</v>
      </c>
      <c r="D6" s="4">
        <v>987</v>
      </c>
      <c r="E6" s="4">
        <v>90</v>
      </c>
      <c r="F6" s="6">
        <v>90</v>
      </c>
      <c r="J6" s="1"/>
    </row>
    <row r="7" spans="1:10">
      <c r="A7" s="4" t="s">
        <v>125</v>
      </c>
      <c r="B7" s="5" t="s">
        <v>72</v>
      </c>
      <c r="C7" s="4" t="s">
        <v>73</v>
      </c>
      <c r="D7" s="4">
        <v>927</v>
      </c>
      <c r="E7" s="4">
        <v>80</v>
      </c>
      <c r="F7" s="6">
        <v>87</v>
      </c>
      <c r="J7" s="1"/>
    </row>
    <row r="8" spans="1:10">
      <c r="A8" s="4" t="s">
        <v>126</v>
      </c>
      <c r="B8" s="5" t="s">
        <v>17</v>
      </c>
      <c r="C8" s="4" t="s">
        <v>74</v>
      </c>
      <c r="D8" s="4">
        <v>789</v>
      </c>
      <c r="E8" s="4">
        <v>91</v>
      </c>
      <c r="F8" s="6">
        <v>82</v>
      </c>
      <c r="J8" s="1"/>
    </row>
    <row r="9" spans="1:10">
      <c r="A9" s="4" t="s">
        <v>127</v>
      </c>
      <c r="B9" s="5" t="s">
        <v>17</v>
      </c>
      <c r="C9" s="4" t="s">
        <v>74</v>
      </c>
      <c r="D9" s="4">
        <v>919</v>
      </c>
      <c r="E9" s="4">
        <v>83</v>
      </c>
      <c r="F9" s="6">
        <v>91</v>
      </c>
      <c r="J9" s="1"/>
    </row>
    <row r="10" spans="1:10">
      <c r="A10" s="4" t="s">
        <v>128</v>
      </c>
      <c r="B10" s="5" t="s">
        <v>17</v>
      </c>
      <c r="C10" s="4" t="s">
        <v>73</v>
      </c>
      <c r="D10" s="4">
        <v>890</v>
      </c>
      <c r="E10" s="4">
        <v>67</v>
      </c>
      <c r="F10" s="6">
        <v>90</v>
      </c>
      <c r="J10" s="1"/>
    </row>
    <row r="11" spans="1:10">
      <c r="A11" s="4" t="s">
        <v>129</v>
      </c>
      <c r="B11" s="5" t="s">
        <v>11</v>
      </c>
      <c r="C11" s="4" t="s">
        <v>31</v>
      </c>
      <c r="D11" s="7">
        <v>895</v>
      </c>
      <c r="E11" s="7">
        <v>80</v>
      </c>
      <c r="F11" s="8">
        <v>80</v>
      </c>
      <c r="J11" s="1"/>
    </row>
    <row r="12" spans="1:10">
      <c r="A12" s="4" t="s">
        <v>130</v>
      </c>
      <c r="B12" s="5" t="s">
        <v>11</v>
      </c>
      <c r="C12" s="4" t="s">
        <v>65</v>
      </c>
      <c r="D12" s="7">
        <v>782</v>
      </c>
      <c r="E12" s="7">
        <v>78</v>
      </c>
      <c r="F12" s="8">
        <v>77</v>
      </c>
      <c r="I12" s="3"/>
      <c r="J12" s="1"/>
    </row>
    <row r="13" spans="1:10">
      <c r="A13" s="4" t="s">
        <v>131</v>
      </c>
      <c r="B13" s="5" t="s">
        <v>11</v>
      </c>
      <c r="C13" s="4" t="s">
        <v>30</v>
      </c>
      <c r="D13" s="7">
        <v>786</v>
      </c>
      <c r="E13" s="7">
        <v>89</v>
      </c>
      <c r="F13" s="8">
        <v>86</v>
      </c>
    </row>
    <row r="14" spans="1:10">
      <c r="A14" s="4" t="s">
        <v>132</v>
      </c>
      <c r="B14" s="5" t="s">
        <v>12</v>
      </c>
      <c r="C14" s="4" t="s">
        <v>30</v>
      </c>
      <c r="D14" s="7">
        <v>895</v>
      </c>
      <c r="E14" s="7">
        <v>91</v>
      </c>
      <c r="F14" s="8">
        <v>82</v>
      </c>
    </row>
    <row r="15" spans="1:10">
      <c r="A15" s="4" t="s">
        <v>133</v>
      </c>
      <c r="B15" s="5" t="s">
        <v>15</v>
      </c>
      <c r="C15" s="4" t="s">
        <v>32</v>
      </c>
      <c r="D15" s="7">
        <v>788</v>
      </c>
      <c r="E15" s="7">
        <v>80</v>
      </c>
      <c r="F15" s="8">
        <v>88</v>
      </c>
    </row>
    <row r="16" spans="1:10">
      <c r="A16" s="4" t="s">
        <v>134</v>
      </c>
      <c r="B16" s="5" t="s">
        <v>15</v>
      </c>
      <c r="C16" s="4" t="s">
        <v>73</v>
      </c>
      <c r="D16" s="7">
        <v>893</v>
      </c>
      <c r="E16" s="7">
        <v>90</v>
      </c>
      <c r="F16" s="8">
        <v>92</v>
      </c>
    </row>
    <row r="17" spans="1:6">
      <c r="A17" s="4" t="s">
        <v>135</v>
      </c>
      <c r="B17" s="5" t="s">
        <v>16</v>
      </c>
      <c r="C17" s="4" t="s">
        <v>71</v>
      </c>
      <c r="D17" s="7">
        <v>877</v>
      </c>
      <c r="E17" s="7">
        <v>87</v>
      </c>
      <c r="F17" s="8">
        <v>86</v>
      </c>
    </row>
    <row r="18" spans="1:6">
      <c r="A18" s="4" t="s">
        <v>136</v>
      </c>
      <c r="B18" s="5" t="s">
        <v>17</v>
      </c>
      <c r="C18" s="4" t="s">
        <v>73</v>
      </c>
      <c r="D18" s="7">
        <v>760</v>
      </c>
      <c r="E18" s="7">
        <v>78</v>
      </c>
      <c r="F18" s="7">
        <v>77</v>
      </c>
    </row>
    <row r="19" spans="1:6">
      <c r="A19" s="4" t="s">
        <v>137</v>
      </c>
      <c r="B19" s="5" t="s">
        <v>17</v>
      </c>
      <c r="C19" s="4" t="s">
        <v>74</v>
      </c>
      <c r="D19" s="7">
        <v>774</v>
      </c>
      <c r="E19" s="7">
        <v>64</v>
      </c>
      <c r="F19" s="8">
        <v>63</v>
      </c>
    </row>
  </sheetData>
  <phoneticPr fontId="2" type="noConversion"/>
  <conditionalFormatting sqref="A11:A12">
    <cfRule type="expression" dxfId="2" priority="1" stopIfTrue="1">
      <formula>AND(MID($A11,2,2)="98",$E11="기술지원부",#REF!&gt;=95)</formula>
    </cfRule>
  </conditionalFormatting>
  <conditionalFormatting sqref="A4:B10">
    <cfRule type="expression" dxfId="1" priority="2" stopIfTrue="1">
      <formula>AND(MID($A4,2,2)="98",$D4="기술지원부",#REF!&gt;=95)</formula>
    </cfRule>
  </conditionalFormatting>
  <conditionalFormatting sqref="B11:B19">
    <cfRule type="expression" dxfId="0" priority="3" stopIfTrue="1">
      <formula>AND(MID($A11,2,2)="98",$C11="기술지원부",$I20&gt;=95)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6" r:id="rId4" name="성적검색">
          <controlPr defaultSize="0" autoLine="0" autoPict="0" r:id="rId5">
            <anchor moveWithCells="1">
              <from>
                <xdr:col>3</xdr:col>
                <xdr:colOff>666750</xdr:colOff>
                <xdr:row>0</xdr:row>
                <xdr:rowOff>0</xdr:rowOff>
              </from>
              <to>
                <xdr:col>5</xdr:col>
                <xdr:colOff>323850</xdr:colOff>
                <xdr:row>1</xdr:row>
                <xdr:rowOff>95250</xdr:rowOff>
              </to>
            </anchor>
          </controlPr>
        </control>
      </mc:Choice>
      <mc:Fallback>
        <control shapeId="6146" r:id="rId4" name="성적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Chart1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</dc:creator>
  <cp:lastModifiedBy>컨버전스 디지털</cp:lastModifiedBy>
  <cp:lastPrinted>2020-08-30T05:49:16Z</cp:lastPrinted>
  <dcterms:created xsi:type="dcterms:W3CDTF">2020-06-30T13:12:59Z</dcterms:created>
  <dcterms:modified xsi:type="dcterms:W3CDTF">2024-03-13T00:31:28Z</dcterms:modified>
</cp:coreProperties>
</file>