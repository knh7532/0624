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실전모의고사\"/>
    </mc:Choice>
  </mc:AlternateContent>
  <xr:revisionPtr revIDLastSave="0" documentId="13_ncr:1_{FD90D32A-472C-479E-898D-2C8B21CCF138}" xr6:coauthVersionLast="47" xr6:coauthVersionMax="47" xr10:uidLastSave="{00000000-0000-0000-0000-000000000000}"/>
  <bookViews>
    <workbookView xWindow="1155" yWindow="165" windowWidth="23325" windowHeight="14685" activeTab="2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7" r:id="rId6"/>
    <sheet name="기타작업-2" sheetId="10" r:id="rId7"/>
    <sheet name="기타작업-3" sheetId="9" r:id="rId8"/>
  </sheets>
  <functionGroups builtInGroupCount="19"/>
  <definedNames>
    <definedName name="_xlnm._FilterDatabase" localSheetId="0" hidden="1">'기본작업-1'!$B$2:$H$27</definedName>
    <definedName name="_xlnm._FilterDatabase" localSheetId="4" hidden="1">'분석작업-2'!$B$2:$F$15</definedName>
    <definedName name="_xlnm.Criteria" localSheetId="0">'기본작업-1'!$B$29:$B$30</definedName>
    <definedName name="_xlnm.Extract" localSheetId="0">'기본작업-1'!$B$32:$E$32</definedName>
    <definedName name="_xlnm.Print_Area" localSheetId="1">'기본작업-2'!$B$2:$H$41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" i="3" l="1" a="1"/>
  <c r="M11" i="3" s="1"/>
  <c r="M12" i="3" a="1"/>
  <c r="M12" i="3" s="1"/>
  <c r="M10" i="3" a="1"/>
  <c r="M10" i="3" s="1"/>
  <c r="N11" i="3" a="1"/>
  <c r="N11" i="3" s="1"/>
  <c r="N12" i="3" a="1"/>
  <c r="N12" i="3"/>
  <c r="N10" i="3" a="1"/>
  <c r="N10" i="3" s="1"/>
  <c r="M5" i="3" a="1"/>
  <c r="M5" i="3" s="1"/>
  <c r="N5" i="3" a="1"/>
  <c r="N5" i="3" s="1"/>
  <c r="M6" i="3" a="1"/>
  <c r="M6" i="3" s="1"/>
  <c r="N6" i="3" a="1"/>
  <c r="N6" i="3" s="1"/>
  <c r="N4" i="3" a="1"/>
  <c r="N4" i="3" s="1"/>
  <c r="M4" i="3" a="1"/>
  <c r="M4" i="3" s="1"/>
  <c r="J6" i="3" a="1"/>
  <c r="J8" i="3" a="1"/>
  <c r="J10" i="3" a="1"/>
  <c r="J12" i="3" a="1"/>
  <c r="J14" i="3" a="1"/>
  <c r="J16" i="3" a="1"/>
  <c r="J18" i="3" a="1"/>
  <c r="J20" i="3" a="1"/>
  <c r="J22" i="3" a="1"/>
  <c r="J24" i="3" a="1"/>
  <c r="J5" i="3" a="1"/>
  <c r="J7" i="3" a="1"/>
  <c r="J9" i="3" a="1"/>
  <c r="J11" i="3" a="1"/>
  <c r="J13" i="3" a="1"/>
  <c r="J15" i="3" a="1"/>
  <c r="J17" i="3" a="1"/>
  <c r="J19" i="3" a="1"/>
  <c r="J21" i="3" a="1"/>
  <c r="J23" i="3" a="1"/>
  <c r="J4" i="3" a="1"/>
  <c r="J23" i="3" l="1"/>
  <c r="J21" i="3"/>
  <c r="J19" i="3"/>
  <c r="J17" i="3"/>
  <c r="J15" i="3"/>
  <c r="J13" i="3"/>
  <c r="J11" i="3"/>
  <c r="J9" i="3"/>
  <c r="J7" i="3"/>
  <c r="J5" i="3"/>
  <c r="J24" i="3"/>
  <c r="J22" i="3"/>
  <c r="J20" i="3"/>
  <c r="J18" i="3"/>
  <c r="J16" i="3"/>
  <c r="J14" i="3"/>
  <c r="J12" i="3"/>
  <c r="J10" i="3"/>
  <c r="J8" i="3"/>
  <c r="J6" i="3"/>
  <c r="J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4" i="3"/>
  <c r="B30" i="1"/>
  <c r="G6" i="10" l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5" i="10"/>
  <c r="F5" i="7" l="1"/>
  <c r="F6" i="7"/>
  <c r="F7" i="7"/>
  <c r="F8" i="7"/>
  <c r="F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USERS\MAINBUKB\Desktop\컴활문제_김진원\회원관리.accdb;DefaultDir=C:\USERS\MAINBUKB\Desktop\컴활문제_김진원;DriverId=25;FIL=MS Access;MaxBufferSize=2048;PageTimeout=5;" command="SELECT 회원.이름, 회원.수강과목, 회원.구분, 회원.가입일자, 회원.접수방식, 회원.강사, 회원.수강료_x000d__x000a_FROM `C:\USERS\MAINBUKB\Desktop\컴활문제_김진원\회원관리.accdb`.회원 회원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<sst xmlns="http://schemas.openxmlformats.org/spreadsheetml/2006/main" count="517" uniqueCount="312">
  <si>
    <t>이름</t>
    <phoneticPr fontId="1" type="noConversion"/>
  </si>
  <si>
    <t>이세진</t>
    <phoneticPr fontId="1" type="noConversion"/>
  </si>
  <si>
    <t>이가람</t>
    <phoneticPr fontId="1" type="noConversion"/>
  </si>
  <si>
    <t>안유영</t>
    <phoneticPr fontId="1" type="noConversion"/>
  </si>
  <si>
    <t>유미나</t>
    <phoneticPr fontId="1" type="noConversion"/>
  </si>
  <si>
    <t>최진우</t>
    <phoneticPr fontId="1" type="noConversion"/>
  </si>
  <si>
    <t>정오철</t>
    <phoneticPr fontId="1" type="noConversion"/>
  </si>
  <si>
    <t>김민태</t>
    <phoneticPr fontId="1" type="noConversion"/>
  </si>
  <si>
    <t>주원영</t>
    <phoneticPr fontId="1" type="noConversion"/>
  </si>
  <si>
    <t>이세웅</t>
    <phoneticPr fontId="1" type="noConversion"/>
  </si>
  <si>
    <t>지현우</t>
    <phoneticPr fontId="1" type="noConversion"/>
  </si>
  <si>
    <t>이시우</t>
    <phoneticPr fontId="1" type="noConversion"/>
  </si>
  <si>
    <t>이름</t>
    <phoneticPr fontId="1" type="noConversion"/>
  </si>
  <si>
    <t>구분</t>
    <phoneticPr fontId="1" type="noConversion"/>
  </si>
  <si>
    <t>평일</t>
    <phoneticPr fontId="1" type="noConversion"/>
  </si>
  <si>
    <t>주말</t>
    <phoneticPr fontId="1" type="noConversion"/>
  </si>
  <si>
    <t>평일</t>
    <phoneticPr fontId="1" type="noConversion"/>
  </si>
  <si>
    <t>주말</t>
    <phoneticPr fontId="1" type="noConversion"/>
  </si>
  <si>
    <t>주말</t>
    <phoneticPr fontId="1" type="noConversion"/>
  </si>
  <si>
    <t>평일</t>
    <phoneticPr fontId="1" type="noConversion"/>
  </si>
  <si>
    <t>주말</t>
    <phoneticPr fontId="1" type="noConversion"/>
  </si>
  <si>
    <t>비고</t>
    <phoneticPr fontId="1" type="noConversion"/>
  </si>
  <si>
    <t>수강과목</t>
    <phoneticPr fontId="1" type="noConversion"/>
  </si>
  <si>
    <t>강의실</t>
    <phoneticPr fontId="1" type="noConversion"/>
  </si>
  <si>
    <t>한식조리</t>
    <phoneticPr fontId="1" type="noConversion"/>
  </si>
  <si>
    <t>중식조리</t>
    <phoneticPr fontId="1" type="noConversion"/>
  </si>
  <si>
    <t>제빵</t>
    <phoneticPr fontId="1" type="noConversion"/>
  </si>
  <si>
    <t>제과</t>
    <phoneticPr fontId="1" type="noConversion"/>
  </si>
  <si>
    <t>필기평가</t>
    <phoneticPr fontId="1" type="noConversion"/>
  </si>
  <si>
    <t>실기평가</t>
    <phoneticPr fontId="1" type="noConversion"/>
  </si>
  <si>
    <t>이동주</t>
    <phoneticPr fontId="1" type="noConversion"/>
  </si>
  <si>
    <t>김진오</t>
    <phoneticPr fontId="1" type="noConversion"/>
  </si>
  <si>
    <t>김상우</t>
    <phoneticPr fontId="1" type="noConversion"/>
  </si>
  <si>
    <t>박재성</t>
    <phoneticPr fontId="1" type="noConversion"/>
  </si>
  <si>
    <t>이주환</t>
    <phoneticPr fontId="1" type="noConversion"/>
  </si>
  <si>
    <t>김서영</t>
    <phoneticPr fontId="1" type="noConversion"/>
  </si>
  <si>
    <t>김서연</t>
    <phoneticPr fontId="1" type="noConversion"/>
  </si>
  <si>
    <t>박지훈</t>
    <phoneticPr fontId="1" type="noConversion"/>
  </si>
  <si>
    <t>윤지우</t>
    <phoneticPr fontId="1" type="noConversion"/>
  </si>
  <si>
    <t>김철우</t>
    <phoneticPr fontId="1" type="noConversion"/>
  </si>
  <si>
    <t>지원영</t>
    <phoneticPr fontId="1" type="noConversion"/>
  </si>
  <si>
    <t>이민지</t>
    <phoneticPr fontId="1" type="noConversion"/>
  </si>
  <si>
    <t>이진호</t>
    <phoneticPr fontId="1" type="noConversion"/>
  </si>
  <si>
    <t>유선민</t>
    <phoneticPr fontId="1" type="noConversion"/>
  </si>
  <si>
    <t>평균</t>
    <phoneticPr fontId="1" type="noConversion"/>
  </si>
  <si>
    <t>제과</t>
    <phoneticPr fontId="1" type="noConversion"/>
  </si>
  <si>
    <t>제빵</t>
    <phoneticPr fontId="1" type="noConversion"/>
  </si>
  <si>
    <t>제빵</t>
    <phoneticPr fontId="1" type="noConversion"/>
  </si>
  <si>
    <t>한식조리</t>
    <phoneticPr fontId="1" type="noConversion"/>
  </si>
  <si>
    <t>중식조리</t>
    <phoneticPr fontId="1" type="noConversion"/>
  </si>
  <si>
    <t>한식조리</t>
    <phoneticPr fontId="1" type="noConversion"/>
  </si>
  <si>
    <t>1강의실</t>
    <phoneticPr fontId="1" type="noConversion"/>
  </si>
  <si>
    <t>1강의실</t>
    <phoneticPr fontId="1" type="noConversion"/>
  </si>
  <si>
    <t>2강의실</t>
    <phoneticPr fontId="1" type="noConversion"/>
  </si>
  <si>
    <t>2강의실</t>
    <phoneticPr fontId="1" type="noConversion"/>
  </si>
  <si>
    <t>2강의실</t>
    <phoneticPr fontId="1" type="noConversion"/>
  </si>
  <si>
    <t>2강의실</t>
    <phoneticPr fontId="1" type="noConversion"/>
  </si>
  <si>
    <t>3강의실</t>
    <phoneticPr fontId="1" type="noConversion"/>
  </si>
  <si>
    <t>별관</t>
    <phoneticPr fontId="1" type="noConversion"/>
  </si>
  <si>
    <t>별관</t>
    <phoneticPr fontId="1" type="noConversion"/>
  </si>
  <si>
    <t>접수일</t>
    <phoneticPr fontId="1" type="noConversion"/>
  </si>
  <si>
    <t>강의코드</t>
    <phoneticPr fontId="1" type="noConversion"/>
  </si>
  <si>
    <t>신청자</t>
    <phoneticPr fontId="1" type="noConversion"/>
  </si>
  <si>
    <t>과정명</t>
    <phoneticPr fontId="1" type="noConversion"/>
  </si>
  <si>
    <t>사무관리</t>
    <phoneticPr fontId="1" type="noConversion"/>
  </si>
  <si>
    <t>전산회계</t>
    <phoneticPr fontId="1" type="noConversion"/>
  </si>
  <si>
    <t>전산회계</t>
    <phoneticPr fontId="1" type="noConversion"/>
  </si>
  <si>
    <t>CAD</t>
    <phoneticPr fontId="1" type="noConversion"/>
  </si>
  <si>
    <t>CAD</t>
    <phoneticPr fontId="1" type="noConversion"/>
  </si>
  <si>
    <t>CAD</t>
    <phoneticPr fontId="1" type="noConversion"/>
  </si>
  <si>
    <t>CAD</t>
    <phoneticPr fontId="1" type="noConversion"/>
  </si>
  <si>
    <t>CAD</t>
    <phoneticPr fontId="1" type="noConversion"/>
  </si>
  <si>
    <t>엑셀활용</t>
    <phoneticPr fontId="1" type="noConversion"/>
  </si>
  <si>
    <t>엑셀활용</t>
    <phoneticPr fontId="1" type="noConversion"/>
  </si>
  <si>
    <t>이두현</t>
    <phoneticPr fontId="1" type="noConversion"/>
  </si>
  <si>
    <t>이두현</t>
    <phoneticPr fontId="1" type="noConversion"/>
  </si>
  <si>
    <t>13시</t>
    <phoneticPr fontId="1" type="noConversion"/>
  </si>
  <si>
    <t>16시</t>
    <phoneticPr fontId="1" type="noConversion"/>
  </si>
  <si>
    <t>8시</t>
    <phoneticPr fontId="1" type="noConversion"/>
  </si>
  <si>
    <t>18시</t>
    <phoneticPr fontId="1" type="noConversion"/>
  </si>
  <si>
    <t>10시</t>
    <phoneticPr fontId="1" type="noConversion"/>
  </si>
  <si>
    <t>10시</t>
    <phoneticPr fontId="1" type="noConversion"/>
  </si>
  <si>
    <t>13시</t>
    <phoneticPr fontId="1" type="noConversion"/>
  </si>
  <si>
    <t>8시</t>
    <phoneticPr fontId="1" type="noConversion"/>
  </si>
  <si>
    <t>OF001</t>
    <phoneticPr fontId="1" type="noConversion"/>
  </si>
  <si>
    <t>OF001</t>
    <phoneticPr fontId="1" type="noConversion"/>
  </si>
  <si>
    <t>OF001</t>
    <phoneticPr fontId="1" type="noConversion"/>
  </si>
  <si>
    <t>ER102</t>
    <phoneticPr fontId="1" type="noConversion"/>
  </si>
  <si>
    <t>ER102</t>
    <phoneticPr fontId="1" type="noConversion"/>
  </si>
  <si>
    <t>ER102</t>
    <phoneticPr fontId="1" type="noConversion"/>
  </si>
  <si>
    <t>ER102</t>
    <phoneticPr fontId="1" type="noConversion"/>
  </si>
  <si>
    <t>CD303</t>
    <phoneticPr fontId="1" type="noConversion"/>
  </si>
  <si>
    <t>EX404</t>
    <phoneticPr fontId="1" type="noConversion"/>
  </si>
  <si>
    <t>EX404</t>
    <phoneticPr fontId="1" type="noConversion"/>
  </si>
  <si>
    <t>EX404</t>
    <phoneticPr fontId="1" type="noConversion"/>
  </si>
  <si>
    <t>EX404</t>
    <phoneticPr fontId="1" type="noConversion"/>
  </si>
  <si>
    <t>신정현</t>
    <phoneticPr fontId="1" type="noConversion"/>
  </si>
  <si>
    <t>김가인</t>
    <phoneticPr fontId="1" type="noConversion"/>
  </si>
  <si>
    <t>김가인</t>
    <phoneticPr fontId="1" type="noConversion"/>
  </si>
  <si>
    <t>지현우</t>
    <phoneticPr fontId="1" type="noConversion"/>
  </si>
  <si>
    <t>조서영</t>
    <phoneticPr fontId="1" type="noConversion"/>
  </si>
  <si>
    <t>공가경</t>
    <phoneticPr fontId="1" type="noConversion"/>
  </si>
  <si>
    <t>공가경</t>
    <phoneticPr fontId="1" type="noConversion"/>
  </si>
  <si>
    <t>홍성휘</t>
    <phoneticPr fontId="1" type="noConversion"/>
  </si>
  <si>
    <t>이슬기</t>
    <phoneticPr fontId="1" type="noConversion"/>
  </si>
  <si>
    <t>최지우</t>
    <phoneticPr fontId="1" type="noConversion"/>
  </si>
  <si>
    <t>조재민</t>
    <phoneticPr fontId="1" type="noConversion"/>
  </si>
  <si>
    <t>김서영</t>
    <phoneticPr fontId="1" type="noConversion"/>
  </si>
  <si>
    <t>노영리</t>
    <phoneticPr fontId="1" type="noConversion"/>
  </si>
  <si>
    <t>유홍균</t>
    <phoneticPr fontId="1" type="noConversion"/>
  </si>
  <si>
    <t>이성현</t>
    <phoneticPr fontId="1" type="noConversion"/>
  </si>
  <si>
    <t>이성현</t>
    <phoneticPr fontId="1" type="noConversion"/>
  </si>
  <si>
    <t>곽태민</t>
    <phoneticPr fontId="1" type="noConversion"/>
  </si>
  <si>
    <t>곽태민</t>
    <phoneticPr fontId="1" type="noConversion"/>
  </si>
  <si>
    <t>이동현</t>
    <phoneticPr fontId="1" type="noConversion"/>
  </si>
  <si>
    <t>김진우</t>
    <phoneticPr fontId="1" type="noConversion"/>
  </si>
  <si>
    <t>김주환</t>
    <phoneticPr fontId="1" type="noConversion"/>
  </si>
  <si>
    <t>박세진</t>
    <phoneticPr fontId="1" type="noConversion"/>
  </si>
  <si>
    <t>오태석</t>
    <phoneticPr fontId="1" type="noConversion"/>
  </si>
  <si>
    <t>한덕희</t>
    <phoneticPr fontId="1" type="noConversion"/>
  </si>
  <si>
    <t>정희준</t>
    <phoneticPr fontId="1" type="noConversion"/>
  </si>
  <si>
    <t>박민지</t>
    <phoneticPr fontId="1" type="noConversion"/>
  </si>
  <si>
    <t>박민지</t>
    <phoneticPr fontId="1" type="noConversion"/>
  </si>
  <si>
    <t>이주연</t>
    <phoneticPr fontId="1" type="noConversion"/>
  </si>
  <si>
    <t>박지영</t>
    <phoneticPr fontId="1" type="noConversion"/>
  </si>
  <si>
    <t>입실시간</t>
    <phoneticPr fontId="1" type="noConversion"/>
  </si>
  <si>
    <t>누적시간</t>
    <phoneticPr fontId="1" type="noConversion"/>
  </si>
  <si>
    <t>수강료(3개월)</t>
    <phoneticPr fontId="1" type="noConversion"/>
  </si>
  <si>
    <t>비고</t>
    <phoneticPr fontId="1" type="noConversion"/>
  </si>
  <si>
    <t>20%할인</t>
    <phoneticPr fontId="1" type="noConversion"/>
  </si>
  <si>
    <t>평일</t>
    <phoneticPr fontId="1" type="noConversion"/>
  </si>
  <si>
    <t>반별</t>
    <phoneticPr fontId="1" type="noConversion"/>
  </si>
  <si>
    <t>야간</t>
    <phoneticPr fontId="1" type="noConversion"/>
  </si>
  <si>
    <t>야간</t>
    <phoneticPr fontId="1" type="noConversion"/>
  </si>
  <si>
    <t>야간</t>
    <phoneticPr fontId="1" type="noConversion"/>
  </si>
  <si>
    <t>주말</t>
    <phoneticPr fontId="1" type="noConversion"/>
  </si>
  <si>
    <t>주말</t>
    <phoneticPr fontId="1" type="noConversion"/>
  </si>
  <si>
    <t>평일</t>
    <phoneticPr fontId="1" type="noConversion"/>
  </si>
  <si>
    <t>평균</t>
    <phoneticPr fontId="1" type="noConversion"/>
  </si>
  <si>
    <t>구분</t>
    <phoneticPr fontId="1" type="noConversion"/>
  </si>
  <si>
    <t>실무</t>
    <phoneticPr fontId="1" type="noConversion"/>
  </si>
  <si>
    <t>이론</t>
    <phoneticPr fontId="1" type="noConversion"/>
  </si>
  <si>
    <t>실무</t>
    <phoneticPr fontId="1" type="noConversion"/>
  </si>
  <si>
    <t>이론</t>
    <phoneticPr fontId="1" type="noConversion"/>
  </si>
  <si>
    <t>이론</t>
    <phoneticPr fontId="1" type="noConversion"/>
  </si>
  <si>
    <t>1월평가</t>
    <phoneticPr fontId="1" type="noConversion"/>
  </si>
  <si>
    <t>2월평가</t>
    <phoneticPr fontId="1" type="noConversion"/>
  </si>
  <si>
    <t>이론</t>
    <phoneticPr fontId="1" type="noConversion"/>
  </si>
  <si>
    <t>이론</t>
    <phoneticPr fontId="1" type="noConversion"/>
  </si>
  <si>
    <t>접수일</t>
    <phoneticPr fontId="1" type="noConversion"/>
  </si>
  <si>
    <t>평가</t>
    <phoneticPr fontId="1" type="noConversion"/>
  </si>
  <si>
    <t>이시영</t>
    <phoneticPr fontId="1" type="noConversion"/>
  </si>
  <si>
    <t>윤동건</t>
    <phoneticPr fontId="1" type="noConversion"/>
  </si>
  <si>
    <t>김원종</t>
    <phoneticPr fontId="1" type="noConversion"/>
  </si>
  <si>
    <t>이예찬</t>
    <phoneticPr fontId="1" type="noConversion"/>
  </si>
  <si>
    <t>문동준</t>
    <phoneticPr fontId="1" type="noConversion"/>
  </si>
  <si>
    <t>송정철</t>
    <phoneticPr fontId="1" type="noConversion"/>
  </si>
  <si>
    <t>김창수</t>
    <phoneticPr fontId="1" type="noConversion"/>
  </si>
  <si>
    <t>원태연</t>
    <phoneticPr fontId="1" type="noConversion"/>
  </si>
  <si>
    <t>신해나</t>
    <phoneticPr fontId="1" type="noConversion"/>
  </si>
  <si>
    <t>이길우</t>
    <phoneticPr fontId="1" type="noConversion"/>
  </si>
  <si>
    <t>김한수</t>
    <phoneticPr fontId="1" type="noConversion"/>
  </si>
  <si>
    <t>김주홍</t>
    <phoneticPr fontId="1" type="noConversion"/>
  </si>
  <si>
    <t>김지섭</t>
    <phoneticPr fontId="1" type="noConversion"/>
  </si>
  <si>
    <t>안영희</t>
    <phoneticPr fontId="1" type="noConversion"/>
  </si>
  <si>
    <t>박희석</t>
    <phoneticPr fontId="1" type="noConversion"/>
  </si>
  <si>
    <t>이다영</t>
    <phoneticPr fontId="1" type="noConversion"/>
  </si>
  <si>
    <t>서윤준</t>
    <phoneticPr fontId="1" type="noConversion"/>
  </si>
  <si>
    <t>안소영</t>
    <phoneticPr fontId="1" type="noConversion"/>
  </si>
  <si>
    <t>손재균</t>
    <phoneticPr fontId="1" type="noConversion"/>
  </si>
  <si>
    <t>박주현</t>
    <phoneticPr fontId="1" type="noConversion"/>
  </si>
  <si>
    <t>이지원</t>
    <phoneticPr fontId="1" type="noConversion"/>
  </si>
  <si>
    <t>[표1] 직업전문학교 등록현황</t>
    <phoneticPr fontId="1" type="noConversion"/>
  </si>
  <si>
    <t>이론</t>
    <phoneticPr fontId="1" type="noConversion"/>
  </si>
  <si>
    <t>실무</t>
    <phoneticPr fontId="1" type="noConversion"/>
  </si>
  <si>
    <t>야간</t>
    <phoneticPr fontId="1" type="noConversion"/>
  </si>
  <si>
    <t>수강과목</t>
    <phoneticPr fontId="1" type="noConversion"/>
  </si>
  <si>
    <t>직업전문학교 과목별 합격 현황</t>
    <phoneticPr fontId="1" type="noConversion"/>
  </si>
  <si>
    <t>청소년</t>
    <phoneticPr fontId="1" type="noConversion"/>
  </si>
  <si>
    <t>성인</t>
    <phoneticPr fontId="1" type="noConversion"/>
  </si>
  <si>
    <t>합격인원</t>
    <phoneticPr fontId="1" type="noConversion"/>
  </si>
  <si>
    <t xml:space="preserve"> 컴퓨터활용능력</t>
    <phoneticPr fontId="1" type="noConversion"/>
  </si>
  <si>
    <t>ERP</t>
    <phoneticPr fontId="1" type="noConversion"/>
  </si>
  <si>
    <t>사무자동화</t>
    <phoneticPr fontId="1" type="noConversion"/>
  </si>
  <si>
    <t>합격률</t>
    <phoneticPr fontId="1" type="noConversion"/>
  </si>
  <si>
    <t>[표1]</t>
    <phoneticPr fontId="1" type="noConversion"/>
  </si>
  <si>
    <t>수강자</t>
    <phoneticPr fontId="1" type="noConversion"/>
  </si>
  <si>
    <t>가입일자</t>
    <phoneticPr fontId="1" type="noConversion"/>
  </si>
  <si>
    <t>회원코드</t>
    <phoneticPr fontId="1" type="noConversion"/>
  </si>
  <si>
    <t>유형</t>
    <phoneticPr fontId="1" type="noConversion"/>
  </si>
  <si>
    <t>수강과목</t>
    <phoneticPr fontId="1" type="noConversion"/>
  </si>
  <si>
    <t>필기</t>
    <phoneticPr fontId="1" type="noConversion"/>
  </si>
  <si>
    <t>필기</t>
    <phoneticPr fontId="1" type="noConversion"/>
  </si>
  <si>
    <t>실기</t>
    <phoneticPr fontId="1" type="noConversion"/>
  </si>
  <si>
    <t>실기</t>
    <phoneticPr fontId="1" type="noConversion"/>
  </si>
  <si>
    <t>실기</t>
    <phoneticPr fontId="1" type="noConversion"/>
  </si>
  <si>
    <t>필기</t>
    <phoneticPr fontId="1" type="noConversion"/>
  </si>
  <si>
    <t>필기</t>
    <phoneticPr fontId="1" type="noConversion"/>
  </si>
  <si>
    <t>필기</t>
    <phoneticPr fontId="1" type="noConversion"/>
  </si>
  <si>
    <t>이서영</t>
    <phoneticPr fontId="1" type="noConversion"/>
  </si>
  <si>
    <t>한소연</t>
    <phoneticPr fontId="1" type="noConversion"/>
  </si>
  <si>
    <t>이진우</t>
    <phoneticPr fontId="1" type="noConversion"/>
  </si>
  <si>
    <t>최해성</t>
    <phoneticPr fontId="1" type="noConversion"/>
  </si>
  <si>
    <t>김상원</t>
    <phoneticPr fontId="1" type="noConversion"/>
  </si>
  <si>
    <t>김지우</t>
    <phoneticPr fontId="1" type="noConversion"/>
  </si>
  <si>
    <t>신정현</t>
    <phoneticPr fontId="1" type="noConversion"/>
  </si>
  <si>
    <t>이두현</t>
    <phoneticPr fontId="1" type="noConversion"/>
  </si>
  <si>
    <t>홍성휘</t>
    <phoneticPr fontId="1" type="noConversion"/>
  </si>
  <si>
    <t>조재민</t>
    <phoneticPr fontId="1" type="noConversion"/>
  </si>
  <si>
    <t>김한나</t>
    <phoneticPr fontId="1" type="noConversion"/>
  </si>
  <si>
    <t>이종명</t>
    <phoneticPr fontId="1" type="noConversion"/>
  </si>
  <si>
    <t>박정민</t>
    <phoneticPr fontId="1" type="noConversion"/>
  </si>
  <si>
    <t>11K001</t>
    <phoneticPr fontId="1" type="noConversion"/>
  </si>
  <si>
    <t>11T001</t>
    <phoneticPr fontId="1" type="noConversion"/>
  </si>
  <si>
    <t>11K002</t>
    <phoneticPr fontId="1" type="noConversion"/>
  </si>
  <si>
    <t>11K003</t>
    <phoneticPr fontId="1" type="noConversion"/>
  </si>
  <si>
    <t>11T012</t>
    <phoneticPr fontId="1" type="noConversion"/>
  </si>
  <si>
    <t>11K022</t>
    <phoneticPr fontId="1" type="noConversion"/>
  </si>
  <si>
    <t>11T008</t>
    <phoneticPr fontId="1" type="noConversion"/>
  </si>
  <si>
    <t>11K034</t>
    <phoneticPr fontId="1" type="noConversion"/>
  </si>
  <si>
    <t>11T045</t>
    <phoneticPr fontId="1" type="noConversion"/>
  </si>
  <si>
    <t>11K043</t>
    <phoneticPr fontId="1" type="noConversion"/>
  </si>
  <si>
    <t>11K009</t>
    <phoneticPr fontId="1" type="noConversion"/>
  </si>
  <si>
    <t>11T015</t>
    <phoneticPr fontId="1" type="noConversion"/>
  </si>
  <si>
    <t>11T019</t>
    <phoneticPr fontId="1" type="noConversion"/>
  </si>
  <si>
    <t>엑셀기본</t>
    <phoneticPr fontId="1" type="noConversion"/>
  </si>
  <si>
    <t>엑셀실무</t>
    <phoneticPr fontId="1" type="noConversion"/>
  </si>
  <si>
    <t>데이터베이스</t>
    <phoneticPr fontId="1" type="noConversion"/>
  </si>
  <si>
    <t>데이터베이스</t>
    <phoneticPr fontId="1" type="noConversion"/>
  </si>
  <si>
    <t>엑셀실무</t>
    <phoneticPr fontId="1" type="noConversion"/>
  </si>
  <si>
    <t>하드웨어관리</t>
    <phoneticPr fontId="1" type="noConversion"/>
  </si>
  <si>
    <t>소프트개발</t>
    <phoneticPr fontId="1" type="noConversion"/>
  </si>
  <si>
    <t>HTML</t>
    <phoneticPr fontId="1" type="noConversion"/>
  </si>
  <si>
    <t>네트워크</t>
    <phoneticPr fontId="1" type="noConversion"/>
  </si>
  <si>
    <t>[표1] 강의과목</t>
    <phoneticPr fontId="1" type="noConversion"/>
  </si>
  <si>
    <t>수강과목</t>
    <phoneticPr fontId="1" type="noConversion"/>
  </si>
  <si>
    <t>강사명</t>
    <phoneticPr fontId="1" type="noConversion"/>
  </si>
  <si>
    <t>개강월</t>
    <phoneticPr fontId="1" type="noConversion"/>
  </si>
  <si>
    <t>정원</t>
    <phoneticPr fontId="1" type="noConversion"/>
  </si>
  <si>
    <t>신청인원</t>
    <phoneticPr fontId="1" type="noConversion"/>
  </si>
  <si>
    <t>비고</t>
    <phoneticPr fontId="1" type="noConversion"/>
  </si>
  <si>
    <t>엑셀기본</t>
    <phoneticPr fontId="1" type="noConversion"/>
  </si>
  <si>
    <t>파워포인트기본</t>
    <phoneticPr fontId="1" type="noConversion"/>
  </si>
  <si>
    <t>포토샵응용</t>
    <phoneticPr fontId="1" type="noConversion"/>
  </si>
  <si>
    <t>동영상편집</t>
    <phoneticPr fontId="1" type="noConversion"/>
  </si>
  <si>
    <t>김주환</t>
    <phoneticPr fontId="1" type="noConversion"/>
  </si>
  <si>
    <t>손재균</t>
    <phoneticPr fontId="1" type="noConversion"/>
  </si>
  <si>
    <t>임호성</t>
    <phoneticPr fontId="1" type="noConversion"/>
  </si>
  <si>
    <t>이효상</t>
    <phoneticPr fontId="1" type="noConversion"/>
  </si>
  <si>
    <t>이주연</t>
    <phoneticPr fontId="1" type="noConversion"/>
  </si>
  <si>
    <t>노영리</t>
    <phoneticPr fontId="1" type="noConversion"/>
  </si>
  <si>
    <t>김유진</t>
    <phoneticPr fontId="1" type="noConversion"/>
  </si>
  <si>
    <t>이영훈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</si>
  <si>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</si>
  <si>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</si>
  <si>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</si>
  <si>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</si>
  <si>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3월</t>
    <phoneticPr fontId="1" type="noConversion"/>
  </si>
  <si>
    <t>1월</t>
    <phoneticPr fontId="1" type="noConversion"/>
  </si>
  <si>
    <t>신청마감</t>
    <phoneticPr fontId="1" type="noConversion"/>
  </si>
  <si>
    <t>마감3일</t>
    <phoneticPr fontId="1" type="noConversion"/>
  </si>
  <si>
    <t>신청마감</t>
    <phoneticPr fontId="1" type="noConversion"/>
  </si>
  <si>
    <t>마감1일</t>
    <phoneticPr fontId="1" type="noConversion"/>
  </si>
  <si>
    <t>마감10일</t>
    <phoneticPr fontId="1" type="noConversion"/>
  </si>
  <si>
    <t>신청마감</t>
    <phoneticPr fontId="1" type="noConversion"/>
  </si>
  <si>
    <t>마감15일</t>
    <phoneticPr fontId="1" type="noConversion"/>
  </si>
  <si>
    <t>마감8일</t>
    <phoneticPr fontId="1" type="noConversion"/>
  </si>
  <si>
    <t>학번</t>
    <phoneticPr fontId="1" type="noConversion"/>
  </si>
  <si>
    <t>이름</t>
    <phoneticPr fontId="1" type="noConversion"/>
  </si>
  <si>
    <t>1차평가</t>
    <phoneticPr fontId="1" type="noConversion"/>
  </si>
  <si>
    <t>2차평가</t>
    <phoneticPr fontId="1" type="noConversion"/>
  </si>
  <si>
    <t>3차평가</t>
    <phoneticPr fontId="1" type="noConversion"/>
  </si>
  <si>
    <t>최길동</t>
    <phoneticPr fontId="1" type="noConversion"/>
  </si>
  <si>
    <t>이재용</t>
    <phoneticPr fontId="1" type="noConversion"/>
  </si>
  <si>
    <t>박성진</t>
    <phoneticPr fontId="1" type="noConversion"/>
  </si>
  <si>
    <t>하서희</t>
    <phoneticPr fontId="1" type="noConversion"/>
  </si>
  <si>
    <t>홍준수</t>
    <phoneticPr fontId="1" type="noConversion"/>
  </si>
  <si>
    <t>민경아</t>
    <phoneticPr fontId="1" type="noConversion"/>
  </si>
  <si>
    <t>황경철</t>
    <phoneticPr fontId="1" type="noConversion"/>
  </si>
  <si>
    <t>이준희</t>
    <phoneticPr fontId="1" type="noConversion"/>
  </si>
  <si>
    <t>최동우</t>
    <phoneticPr fontId="1" type="noConversion"/>
  </si>
  <si>
    <t>한경숙</t>
    <phoneticPr fontId="1" type="noConversion"/>
  </si>
  <si>
    <t>나영오</t>
    <phoneticPr fontId="1" type="noConversion"/>
  </si>
  <si>
    <t>이하늘</t>
    <phoneticPr fontId="1" type="noConversion"/>
  </si>
  <si>
    <t>이기량</t>
    <phoneticPr fontId="1" type="noConversion"/>
  </si>
  <si>
    <t>오채영</t>
    <phoneticPr fontId="1" type="noConversion"/>
  </si>
  <si>
    <t>이문수</t>
    <phoneticPr fontId="1" type="noConversion"/>
  </si>
  <si>
    <t>오종민</t>
    <phoneticPr fontId="1" type="noConversion"/>
  </si>
  <si>
    <t>최원석</t>
    <phoneticPr fontId="1" type="noConversion"/>
  </si>
  <si>
    <t>이동연</t>
    <phoneticPr fontId="1" type="noConversion"/>
  </si>
  <si>
    <t>김준수</t>
    <phoneticPr fontId="1" type="noConversion"/>
  </si>
  <si>
    <t>김준태</t>
    <phoneticPr fontId="1" type="noConversion"/>
  </si>
  <si>
    <t>[표1]컴퓨터활용성적</t>
    <phoneticPr fontId="1" type="noConversion"/>
  </si>
  <si>
    <t>조건</t>
    <phoneticPr fontId="1" type="noConversion"/>
  </si>
  <si>
    <t>접수년도</t>
    <phoneticPr fontId="1" type="noConversion"/>
  </si>
  <si>
    <t>이론</t>
    <phoneticPr fontId="1" type="noConversion"/>
  </si>
  <si>
    <t>실무</t>
    <phoneticPr fontId="1" type="noConversion"/>
  </si>
  <si>
    <t>[표2] 1월평가 평균</t>
    <phoneticPr fontId="1" type="noConversion"/>
  </si>
  <si>
    <t>[표3] 연도별 수강생 현황</t>
    <phoneticPr fontId="1" type="noConversion"/>
  </si>
  <si>
    <t>총합계</t>
  </si>
  <si>
    <t>2018년</t>
  </si>
  <si>
    <t>2019년</t>
  </si>
  <si>
    <t>2020년</t>
  </si>
  <si>
    <t>2021년</t>
  </si>
  <si>
    <t>2022년</t>
  </si>
  <si>
    <t>강사</t>
  </si>
  <si>
    <t>(모두)</t>
  </si>
  <si>
    <t>성인</t>
  </si>
  <si>
    <t>청소년</t>
  </si>
  <si>
    <t>합계 : 수강료</t>
  </si>
  <si>
    <t>구분</t>
  </si>
  <si>
    <t>가입일자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</si>
</sst>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"/>
    <numFmt numFmtId="177" formatCode="0.0%"/>
    <numFmt numFmtId="178" formatCode="0.0_);[Red]\(0.0\)"/>
    <numFmt numFmtId="179" formatCode="0.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77" fontId="0" fillId="0" borderId="1" xfId="2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6" fontId="0" fillId="0" borderId="1" xfId="0" applyNumberFormat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178" fontId="5" fillId="0" borderId="1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0" applyNumberFormat="1">
      <alignment vertical="center"/>
    </xf>
    <xf numFmtId="176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'기타작업-1'!$B$1:$F$1</c:f>
          <c:strCache>
            <c:ptCount val="5"/>
            <c:pt idx="0">
              <c:v>직업전문학교 과목별 합격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청소년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'기타작업-1'!$B$4:$B$8</c:f>
              <c:strCache>
                <c:ptCount val="5"/>
                <c:pt idx="0">
                  <c:v> 컴퓨터활용능력</c:v>
                </c:pt>
                <c:pt idx="1">
                  <c:v>전산회계</c:v>
                </c:pt>
                <c:pt idx="2">
                  <c:v>CAD</c:v>
                </c:pt>
                <c:pt idx="3">
                  <c:v>ERP</c:v>
                </c:pt>
                <c:pt idx="4">
                  <c:v>사무자동화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120</c:v>
                </c:pt>
                <c:pt idx="1">
                  <c:v>124</c:v>
                </c:pt>
                <c:pt idx="2">
                  <c:v>152</c:v>
                </c:pt>
                <c:pt idx="3">
                  <c:v>132</c:v>
                </c:pt>
                <c:pt idx="4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5-4282-86F8-68ECD6CD85B1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성인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'기타작업-1'!$B$4:$B$8</c:f>
              <c:strCache>
                <c:ptCount val="5"/>
                <c:pt idx="0">
                  <c:v> 컴퓨터활용능력</c:v>
                </c:pt>
                <c:pt idx="1">
                  <c:v>전산회계</c:v>
                </c:pt>
                <c:pt idx="2">
                  <c:v>CAD</c:v>
                </c:pt>
                <c:pt idx="3">
                  <c:v>ERP</c:v>
                </c:pt>
                <c:pt idx="4">
                  <c:v>사무자동화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153</c:v>
                </c:pt>
                <c:pt idx="1">
                  <c:v>142</c:v>
                </c:pt>
                <c:pt idx="2">
                  <c:v>121</c:v>
                </c:pt>
                <c:pt idx="3">
                  <c:v>112</c:v>
                </c:pt>
                <c:pt idx="4">
                  <c:v>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5-4282-86F8-68ECD6CD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0563584"/>
        <c:axId val="1540567328"/>
      </c:barChart>
      <c:lineChart>
        <c:grouping val="standard"/>
        <c:varyColors val="0"/>
        <c:ser>
          <c:idx val="3"/>
          <c:order val="2"/>
          <c:tx>
            <c:strRef>
              <c:f>'기타작업-1'!$F$3</c:f>
              <c:strCache>
                <c:ptCount val="1"/>
                <c:pt idx="0">
                  <c:v>합격률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2C-47A9-A5C4-38C673CECA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 컴퓨터활용능력</c:v>
                </c:pt>
                <c:pt idx="1">
                  <c:v>전산회계</c:v>
                </c:pt>
                <c:pt idx="2">
                  <c:v>CAD</c:v>
                </c:pt>
                <c:pt idx="3">
                  <c:v>ERP</c:v>
                </c:pt>
                <c:pt idx="4">
                  <c:v>사무자동화</c:v>
                </c:pt>
              </c:strCache>
            </c:strRef>
          </c:cat>
          <c:val>
            <c:numRef>
              <c:f>'기타작업-1'!$F$4:$F$8</c:f>
              <c:numCache>
                <c:formatCode>0.0%</c:formatCode>
                <c:ptCount val="5"/>
                <c:pt idx="0">
                  <c:v>0.77289377289377292</c:v>
                </c:pt>
                <c:pt idx="1">
                  <c:v>0.6428571428571429</c:v>
                </c:pt>
                <c:pt idx="2">
                  <c:v>0.59706959706959706</c:v>
                </c:pt>
                <c:pt idx="3">
                  <c:v>0.77459016393442626</c:v>
                </c:pt>
                <c:pt idx="4">
                  <c:v>0.82377049180327866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4D-4A38-A0E5-C2C6F8FA3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399999"/>
        <c:axId val="1084392511"/>
      </c:lineChart>
      <c:catAx>
        <c:axId val="154056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40567328"/>
        <c:crosses val="autoZero"/>
        <c:auto val="1"/>
        <c:lblAlgn val="ctr"/>
        <c:lblOffset val="100"/>
        <c:noMultiLvlLbl val="0"/>
      </c:catAx>
      <c:valAx>
        <c:axId val="154056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40563584"/>
        <c:crosses val="autoZero"/>
        <c:crossBetween val="between"/>
      </c:valAx>
      <c:valAx>
        <c:axId val="10843925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4399999"/>
        <c:crosses val="max"/>
        <c:crossBetween val="between"/>
        <c:majorUnit val="0.2"/>
      </c:valAx>
      <c:catAx>
        <c:axId val="1084399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4392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prst="angle"/>
    </a:sp3d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0</xdr:row>
          <xdr:rowOff>95250</xdr:rowOff>
        </xdr:from>
        <xdr:to>
          <xdr:col>6</xdr:col>
          <xdr:colOff>371475</xdr:colOff>
          <xdr:row>2</xdr:row>
          <xdr:rowOff>47625</xdr:rowOff>
        </xdr:to>
        <xdr:sp macro="" textlink="">
          <xdr:nvSpPr>
            <xdr:cNvPr id="8193" name="cmd검색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nBUKB" refreshedDate="44852.704502083332" createdVersion="6" refreshedVersion="6" minRefreshableVersion="3" recordCount="29" xr:uid="{00000000-000A-0000-FFFF-FFFF00000000}">
  <cacheSource type="external" connectionId="1"/>
  <cacheFields count="7">
    <cacheField name="이름" numFmtId="0" sqlType="-9">
      <sharedItems count="29">
        <s v="김주환"/>
        <s v="이종필"/>
        <s v="최주원"/>
        <s v="서범준"/>
        <s v="조서영"/>
        <s v="박지영"/>
        <s v="이주연"/>
        <s v="이하은"/>
        <s v="최지우"/>
        <s v="구원준"/>
        <s v="박세웅"/>
        <s v="지현우"/>
        <s v="오해린"/>
        <s v="이슬기"/>
        <s v="임호성"/>
        <s v="이효상"/>
        <s v="김한나"/>
        <s v="박정민"/>
        <s v="이시우"/>
        <s v="김가인"/>
        <s v="이루리"/>
        <s v="유선민"/>
        <s v="최현욱"/>
        <s v="김준서"/>
        <s v="김진오"/>
        <s v="한창희"/>
        <s v="정희준"/>
        <s v="이서연"/>
        <s v="곽예은"/>
      </sharedItems>
    </cacheField>
    <cacheField name="수강과목" numFmtId="0" sqlType="-9">
      <sharedItems count="6">
        <s v="수영-초급"/>
        <s v="헬스A"/>
        <s v="요가A"/>
        <s v="수영-중급"/>
        <s v="요가B"/>
        <s v="헬스B"/>
      </sharedItems>
    </cacheField>
    <cacheField name="구분" numFmtId="0" sqlType="-9">
      <sharedItems count="2">
        <s v="성인"/>
        <s v="청소년"/>
      </sharedItems>
    </cacheField>
    <cacheField name="가입일자" numFmtId="0" sqlType="11">
      <sharedItems containsSemiMixedTypes="0" containsNonDate="0" containsDate="1" containsString="0" minDate="2018-01-05T00:00:00" maxDate="2022-06-06T00:00:00" count="19">
        <d v="2020-01-05T00:00:00"/>
        <d v="2021-03-05T00:00:00"/>
        <d v="2019-01-05T00:00:00"/>
        <d v="2019-04-05T00:00:00"/>
        <d v="2020-02-05T00:00:00"/>
        <d v="2021-01-05T00:00:00"/>
        <d v="2022-03-05T00:00:00"/>
        <d v="2020-04-05T00:00:00"/>
        <d v="2021-10-05T00:00:00"/>
        <d v="2020-09-05T00:00:00"/>
        <d v="2022-02-05T00:00:00"/>
        <d v="2018-01-05T00:00:00"/>
        <d v="2021-04-05T00:00:00"/>
        <d v="2021-09-05T00:00:00"/>
        <d v="2021-08-05T00:00:00"/>
        <d v="2022-01-05T00:00:00"/>
        <d v="2022-06-05T00:00:00"/>
        <d v="2020-11-05T00:00:00"/>
        <d v="2021-06-05T00:00:00"/>
      </sharedItems>
      <fieldGroup base="3">
        <rangePr groupBy="years" startDate="2018-01-05T00:00:00" endDate="2022-06-06T00:00:00"/>
        <groupItems count="7">
          <s v="&lt;2018-01-05"/>
          <s v="2018년"/>
          <s v="2019년"/>
          <s v="2020년"/>
          <s v="2021년"/>
          <s v="2022년"/>
          <s v="&gt;2022-06-06"/>
        </groupItems>
      </fieldGroup>
    </cacheField>
    <cacheField name="접수방식" numFmtId="0" sqlType="-9">
      <sharedItems count="2">
        <s v="온라인"/>
        <s v="오프라인"/>
      </sharedItems>
    </cacheField>
    <cacheField name="강사" numFmtId="0" sqlType="-9">
      <sharedItems count="6">
        <s v="신정현"/>
        <s v="홍성휘"/>
        <s v="노영리"/>
        <s v="이두현"/>
        <s v="한아름"/>
        <s v="문성호"/>
      </sharedItems>
    </cacheField>
    <cacheField name="수강료" numFmtId="0" sqlType="4">
      <sharedItems containsSemiMixedTypes="0" containsString="0" containsNumber="1" containsInteger="1" minValue="25000" maxValue="70000" count="6">
        <n v="70000"/>
        <n v="25000"/>
        <n v="60000"/>
        <n v="35000"/>
        <n v="30000"/>
        <n v="5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x v="0"/>
    <x v="0"/>
    <x v="0"/>
    <x v="0"/>
    <x v="0"/>
  </r>
  <r>
    <x v="1"/>
    <x v="1"/>
    <x v="1"/>
    <x v="1"/>
    <x v="1"/>
    <x v="1"/>
    <x v="1"/>
  </r>
  <r>
    <x v="2"/>
    <x v="2"/>
    <x v="0"/>
    <x v="2"/>
    <x v="0"/>
    <x v="2"/>
    <x v="2"/>
  </r>
  <r>
    <x v="3"/>
    <x v="3"/>
    <x v="1"/>
    <x v="3"/>
    <x v="0"/>
    <x v="3"/>
    <x v="3"/>
  </r>
  <r>
    <x v="4"/>
    <x v="4"/>
    <x v="1"/>
    <x v="4"/>
    <x v="1"/>
    <x v="4"/>
    <x v="4"/>
  </r>
  <r>
    <x v="5"/>
    <x v="4"/>
    <x v="0"/>
    <x v="4"/>
    <x v="0"/>
    <x v="4"/>
    <x v="2"/>
  </r>
  <r>
    <x v="6"/>
    <x v="2"/>
    <x v="0"/>
    <x v="5"/>
    <x v="1"/>
    <x v="2"/>
    <x v="2"/>
  </r>
  <r>
    <x v="7"/>
    <x v="0"/>
    <x v="0"/>
    <x v="6"/>
    <x v="0"/>
    <x v="0"/>
    <x v="0"/>
  </r>
  <r>
    <x v="8"/>
    <x v="3"/>
    <x v="1"/>
    <x v="7"/>
    <x v="0"/>
    <x v="3"/>
    <x v="3"/>
  </r>
  <r>
    <x v="9"/>
    <x v="1"/>
    <x v="1"/>
    <x v="2"/>
    <x v="1"/>
    <x v="1"/>
    <x v="1"/>
  </r>
  <r>
    <x v="10"/>
    <x v="5"/>
    <x v="0"/>
    <x v="8"/>
    <x v="0"/>
    <x v="5"/>
    <x v="5"/>
  </r>
  <r>
    <x v="11"/>
    <x v="5"/>
    <x v="1"/>
    <x v="9"/>
    <x v="1"/>
    <x v="5"/>
    <x v="1"/>
  </r>
  <r>
    <x v="12"/>
    <x v="2"/>
    <x v="0"/>
    <x v="5"/>
    <x v="0"/>
    <x v="2"/>
    <x v="2"/>
  </r>
  <r>
    <x v="13"/>
    <x v="4"/>
    <x v="1"/>
    <x v="10"/>
    <x v="0"/>
    <x v="4"/>
    <x v="4"/>
  </r>
  <r>
    <x v="14"/>
    <x v="3"/>
    <x v="0"/>
    <x v="11"/>
    <x v="0"/>
    <x v="3"/>
    <x v="0"/>
  </r>
  <r>
    <x v="15"/>
    <x v="0"/>
    <x v="1"/>
    <x v="0"/>
    <x v="1"/>
    <x v="0"/>
    <x v="3"/>
  </r>
  <r>
    <x v="16"/>
    <x v="2"/>
    <x v="0"/>
    <x v="12"/>
    <x v="0"/>
    <x v="2"/>
    <x v="2"/>
  </r>
  <r>
    <x v="17"/>
    <x v="3"/>
    <x v="0"/>
    <x v="13"/>
    <x v="1"/>
    <x v="3"/>
    <x v="0"/>
  </r>
  <r>
    <x v="18"/>
    <x v="1"/>
    <x v="1"/>
    <x v="14"/>
    <x v="0"/>
    <x v="1"/>
    <x v="1"/>
  </r>
  <r>
    <x v="19"/>
    <x v="5"/>
    <x v="1"/>
    <x v="6"/>
    <x v="0"/>
    <x v="5"/>
    <x v="1"/>
  </r>
  <r>
    <x v="20"/>
    <x v="5"/>
    <x v="1"/>
    <x v="6"/>
    <x v="0"/>
    <x v="5"/>
    <x v="1"/>
  </r>
  <r>
    <x v="21"/>
    <x v="2"/>
    <x v="0"/>
    <x v="12"/>
    <x v="1"/>
    <x v="2"/>
    <x v="4"/>
  </r>
  <r>
    <x v="22"/>
    <x v="0"/>
    <x v="0"/>
    <x v="15"/>
    <x v="0"/>
    <x v="0"/>
    <x v="0"/>
  </r>
  <r>
    <x v="23"/>
    <x v="4"/>
    <x v="0"/>
    <x v="15"/>
    <x v="1"/>
    <x v="4"/>
    <x v="2"/>
  </r>
  <r>
    <x v="24"/>
    <x v="1"/>
    <x v="1"/>
    <x v="16"/>
    <x v="1"/>
    <x v="0"/>
    <x v="1"/>
  </r>
  <r>
    <x v="25"/>
    <x v="1"/>
    <x v="0"/>
    <x v="17"/>
    <x v="0"/>
    <x v="0"/>
    <x v="5"/>
  </r>
  <r>
    <x v="26"/>
    <x v="3"/>
    <x v="0"/>
    <x v="13"/>
    <x v="0"/>
    <x v="3"/>
    <x v="0"/>
  </r>
  <r>
    <x v="27"/>
    <x v="4"/>
    <x v="1"/>
    <x v="18"/>
    <x v="1"/>
    <x v="4"/>
    <x v="4"/>
  </r>
  <r>
    <x v="28"/>
    <x v="2"/>
    <x v="1"/>
    <x v="15"/>
    <x v="0"/>
    <x v="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mergeItem="1" createdVersion="6" indent="0" compact="0" compactData="0" multipleFieldFilters="0" fieldListSortAscending="1">
  <location ref="B3:E10" firstHeaderRow="1" firstDataRow="2" firstDataCol="1" rowPageCount="1" colPageCount="1"/>
  <pivotFields count="7">
    <pivotField compact="0" outline="0" showAll="0"/>
    <pivotField compact="0" outline="0" showAll="0">
      <items count="7">
        <item x="3"/>
        <item x="0"/>
        <item x="2"/>
        <item x="4"/>
        <item x="1"/>
        <item x="5"/>
        <item t="default"/>
      </items>
    </pivotField>
    <pivotField axis="axisCol" compact="0" outline="0" showAll="0">
      <items count="3">
        <item x="0"/>
        <item x="1"/>
        <item t="default"/>
      </items>
    </pivotField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/>
    <pivotField axis="axisPage" compact="0" outline="0" showAll="0">
      <items count="7">
        <item x="2"/>
        <item x="5"/>
        <item x="0"/>
        <item x="3"/>
        <item x="4"/>
        <item x="1"/>
        <item t="default"/>
      </items>
    </pivotField>
    <pivotField dataField="1" compact="0" outline="0" showAll="0"/>
  </pivotFields>
  <rowFields count="1">
    <field x="3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5" hier="-1"/>
  </pageFields>
  <dataFields count="1">
    <dataField name="합계 : 수강료" fld="6" showDataAs="percentOfCol" baseField="3" baseItem="2" numFmtId="177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42"/>
  <sheetViews>
    <sheetView workbookViewId="0"/>
  </sheetViews>
  <sheetFormatPr defaultRowHeight="16.5" x14ac:dyDescent="0.3"/>
  <cols>
    <col min="2" max="2" width="15.25" customWidth="1"/>
    <col min="5" max="5" width="13" customWidth="1"/>
  </cols>
  <sheetData>
    <row r="2" spans="2:8" x14ac:dyDescent="0.3">
      <c r="B2" s="15" t="s">
        <v>22</v>
      </c>
      <c r="C2" s="15" t="s">
        <v>23</v>
      </c>
      <c r="D2" s="15" t="s">
        <v>0</v>
      </c>
      <c r="E2" s="15" t="s">
        <v>60</v>
      </c>
      <c r="F2" s="15" t="s">
        <v>28</v>
      </c>
      <c r="G2" s="15" t="s">
        <v>29</v>
      </c>
      <c r="H2" s="15" t="s">
        <v>44</v>
      </c>
    </row>
    <row r="3" spans="2:8" x14ac:dyDescent="0.3">
      <c r="B3" s="1" t="s">
        <v>24</v>
      </c>
      <c r="C3" s="1" t="s">
        <v>51</v>
      </c>
      <c r="D3" s="1" t="s">
        <v>30</v>
      </c>
      <c r="E3" s="2">
        <v>44563</v>
      </c>
      <c r="F3" s="1">
        <v>89</v>
      </c>
      <c r="G3" s="1">
        <v>86</v>
      </c>
      <c r="H3" s="14">
        <v>87.5</v>
      </c>
    </row>
    <row r="4" spans="2:8" x14ac:dyDescent="0.3">
      <c r="B4" s="1" t="s">
        <v>25</v>
      </c>
      <c r="C4" s="1" t="s">
        <v>53</v>
      </c>
      <c r="D4" s="1" t="s">
        <v>31</v>
      </c>
      <c r="E4" s="2">
        <v>44564</v>
      </c>
      <c r="F4" s="1">
        <v>97</v>
      </c>
      <c r="G4" s="1">
        <v>86</v>
      </c>
      <c r="H4" s="14">
        <v>91.5</v>
      </c>
    </row>
    <row r="5" spans="2:8" x14ac:dyDescent="0.3">
      <c r="B5" s="1" t="s">
        <v>26</v>
      </c>
      <c r="C5" s="1" t="s">
        <v>57</v>
      </c>
      <c r="D5" s="1" t="s">
        <v>32</v>
      </c>
      <c r="E5" s="2">
        <v>44566</v>
      </c>
      <c r="F5" s="1">
        <v>79</v>
      </c>
      <c r="G5" s="1">
        <v>86</v>
      </c>
      <c r="H5" s="14">
        <v>82.5</v>
      </c>
    </row>
    <row r="6" spans="2:8" x14ac:dyDescent="0.3">
      <c r="B6" s="1" t="s">
        <v>27</v>
      </c>
      <c r="C6" s="1" t="s">
        <v>58</v>
      </c>
      <c r="D6" s="1" t="s">
        <v>33</v>
      </c>
      <c r="E6" s="2">
        <v>44596</v>
      </c>
      <c r="F6" s="1">
        <v>73</v>
      </c>
      <c r="G6" s="1">
        <v>88</v>
      </c>
      <c r="H6" s="14">
        <v>80.5</v>
      </c>
    </row>
    <row r="7" spans="2:8" x14ac:dyDescent="0.3">
      <c r="B7" s="1" t="s">
        <v>24</v>
      </c>
      <c r="C7" s="1" t="s">
        <v>52</v>
      </c>
      <c r="D7" s="1" t="s">
        <v>1</v>
      </c>
      <c r="E7" s="2">
        <v>44598</v>
      </c>
      <c r="F7" s="1">
        <v>86</v>
      </c>
      <c r="G7" s="1">
        <v>81</v>
      </c>
      <c r="H7" s="14">
        <v>83.5</v>
      </c>
    </row>
    <row r="8" spans="2:8" x14ac:dyDescent="0.3">
      <c r="B8" s="1" t="s">
        <v>24</v>
      </c>
      <c r="C8" s="1" t="s">
        <v>51</v>
      </c>
      <c r="D8" s="1" t="s">
        <v>34</v>
      </c>
      <c r="E8" s="2">
        <v>44564</v>
      </c>
      <c r="F8" s="1">
        <v>66</v>
      </c>
      <c r="G8" s="1">
        <v>78</v>
      </c>
      <c r="H8" s="14">
        <v>72</v>
      </c>
    </row>
    <row r="9" spans="2:8" x14ac:dyDescent="0.3">
      <c r="B9" s="1" t="s">
        <v>25</v>
      </c>
      <c r="C9" s="1" t="s">
        <v>54</v>
      </c>
      <c r="D9" s="1" t="s">
        <v>35</v>
      </c>
      <c r="E9" s="2">
        <v>44596</v>
      </c>
      <c r="F9" s="1">
        <v>90</v>
      </c>
      <c r="G9" s="1">
        <v>83</v>
      </c>
      <c r="H9" s="14">
        <v>86.5</v>
      </c>
    </row>
    <row r="10" spans="2:8" x14ac:dyDescent="0.3">
      <c r="B10" s="1" t="s">
        <v>25</v>
      </c>
      <c r="C10" s="1" t="s">
        <v>54</v>
      </c>
      <c r="D10" s="1" t="s">
        <v>36</v>
      </c>
      <c r="E10" s="2">
        <v>44600</v>
      </c>
      <c r="F10" s="1">
        <v>58</v>
      </c>
      <c r="G10" s="1">
        <v>78</v>
      </c>
      <c r="H10" s="14">
        <v>68</v>
      </c>
    </row>
    <row r="11" spans="2:8" x14ac:dyDescent="0.3">
      <c r="B11" s="1" t="s">
        <v>25</v>
      </c>
      <c r="C11" s="1" t="s">
        <v>54</v>
      </c>
      <c r="D11" s="1" t="s">
        <v>2</v>
      </c>
      <c r="E11" s="2">
        <v>44622</v>
      </c>
      <c r="F11" s="1">
        <v>55</v>
      </c>
      <c r="G11" s="1">
        <v>76</v>
      </c>
      <c r="H11" s="14">
        <v>65.5</v>
      </c>
    </row>
    <row r="12" spans="2:8" x14ac:dyDescent="0.3">
      <c r="B12" s="1" t="s">
        <v>26</v>
      </c>
      <c r="C12" s="1" t="s">
        <v>57</v>
      </c>
      <c r="D12" s="1" t="s">
        <v>3</v>
      </c>
      <c r="E12" s="2">
        <v>44625</v>
      </c>
      <c r="F12" s="1">
        <v>78</v>
      </c>
      <c r="G12" s="1">
        <v>86</v>
      </c>
      <c r="H12" s="14">
        <v>82</v>
      </c>
    </row>
    <row r="13" spans="2:8" x14ac:dyDescent="0.3">
      <c r="B13" s="1" t="s">
        <v>45</v>
      </c>
      <c r="C13" s="1" t="s">
        <v>58</v>
      </c>
      <c r="D13" s="1" t="s">
        <v>37</v>
      </c>
      <c r="E13" s="2">
        <v>44563</v>
      </c>
      <c r="F13" s="1">
        <v>90</v>
      </c>
      <c r="G13" s="1">
        <v>83</v>
      </c>
      <c r="H13" s="14">
        <v>86.5</v>
      </c>
    </row>
    <row r="14" spans="2:8" x14ac:dyDescent="0.3">
      <c r="B14" s="1" t="s">
        <v>46</v>
      </c>
      <c r="C14" s="1" t="s">
        <v>57</v>
      </c>
      <c r="D14" s="1" t="s">
        <v>38</v>
      </c>
      <c r="E14" s="2">
        <v>44576</v>
      </c>
      <c r="F14" s="1">
        <v>92</v>
      </c>
      <c r="G14" s="1">
        <v>83</v>
      </c>
      <c r="H14" s="14">
        <v>87.5</v>
      </c>
    </row>
    <row r="15" spans="2:8" x14ac:dyDescent="0.3">
      <c r="B15" s="1" t="s">
        <v>24</v>
      </c>
      <c r="C15" s="1" t="s">
        <v>51</v>
      </c>
      <c r="D15" s="1" t="s">
        <v>4</v>
      </c>
      <c r="E15" s="2">
        <v>44581</v>
      </c>
      <c r="F15" s="1">
        <v>96</v>
      </c>
      <c r="G15" s="1">
        <v>97</v>
      </c>
      <c r="H15" s="14">
        <v>96.5</v>
      </c>
    </row>
    <row r="16" spans="2:8" x14ac:dyDescent="0.3">
      <c r="B16" s="1" t="s">
        <v>47</v>
      </c>
      <c r="C16" s="1" t="s">
        <v>57</v>
      </c>
      <c r="D16" s="1" t="s">
        <v>5</v>
      </c>
      <c r="E16" s="2">
        <v>44564</v>
      </c>
      <c r="F16" s="1">
        <v>91</v>
      </c>
      <c r="G16" s="1">
        <v>94</v>
      </c>
      <c r="H16" s="14">
        <v>92.5</v>
      </c>
    </row>
    <row r="17" spans="2:8" x14ac:dyDescent="0.3">
      <c r="B17" s="1" t="s">
        <v>24</v>
      </c>
      <c r="C17" s="1" t="s">
        <v>51</v>
      </c>
      <c r="D17" s="1" t="s">
        <v>6</v>
      </c>
      <c r="E17" s="2">
        <v>44603</v>
      </c>
      <c r="F17" s="1">
        <v>81</v>
      </c>
      <c r="G17" s="1">
        <v>71</v>
      </c>
      <c r="H17" s="14">
        <v>76</v>
      </c>
    </row>
    <row r="18" spans="2:8" x14ac:dyDescent="0.3">
      <c r="B18" s="1" t="s">
        <v>48</v>
      </c>
      <c r="C18" s="1" t="s">
        <v>51</v>
      </c>
      <c r="D18" s="1" t="s">
        <v>7</v>
      </c>
      <c r="E18" s="2">
        <v>44594</v>
      </c>
      <c r="F18" s="1">
        <v>86</v>
      </c>
      <c r="G18" s="1">
        <v>83</v>
      </c>
      <c r="H18" s="14">
        <v>84.5</v>
      </c>
    </row>
    <row r="19" spans="2:8" x14ac:dyDescent="0.3">
      <c r="B19" s="1" t="s">
        <v>25</v>
      </c>
      <c r="C19" s="1" t="s">
        <v>55</v>
      </c>
      <c r="D19" s="1" t="s">
        <v>8</v>
      </c>
      <c r="E19" s="2">
        <v>44615</v>
      </c>
      <c r="F19" s="1">
        <v>68</v>
      </c>
      <c r="G19" s="1">
        <v>71</v>
      </c>
      <c r="H19" s="14">
        <v>69.5</v>
      </c>
    </row>
    <row r="20" spans="2:8" x14ac:dyDescent="0.3">
      <c r="B20" s="1" t="s">
        <v>27</v>
      </c>
      <c r="C20" s="1" t="s">
        <v>59</v>
      </c>
      <c r="D20" s="1" t="s">
        <v>39</v>
      </c>
      <c r="E20" s="2">
        <v>44600</v>
      </c>
      <c r="F20" s="1">
        <v>75</v>
      </c>
      <c r="G20" s="1">
        <v>75</v>
      </c>
      <c r="H20" s="14">
        <v>75</v>
      </c>
    </row>
    <row r="21" spans="2:8" x14ac:dyDescent="0.3">
      <c r="B21" s="1" t="s">
        <v>27</v>
      </c>
      <c r="C21" s="1" t="s">
        <v>59</v>
      </c>
      <c r="D21" s="1" t="s">
        <v>40</v>
      </c>
      <c r="E21" s="2">
        <v>44622</v>
      </c>
      <c r="F21" s="1">
        <v>87</v>
      </c>
      <c r="G21" s="1">
        <v>80</v>
      </c>
      <c r="H21" s="14">
        <v>83.5</v>
      </c>
    </row>
    <row r="22" spans="2:8" x14ac:dyDescent="0.3">
      <c r="B22" s="1" t="s">
        <v>24</v>
      </c>
      <c r="C22" s="1" t="s">
        <v>51</v>
      </c>
      <c r="D22" s="1" t="s">
        <v>9</v>
      </c>
      <c r="E22" s="2">
        <v>44624</v>
      </c>
      <c r="F22" s="1">
        <v>97</v>
      </c>
      <c r="G22" s="1">
        <v>83</v>
      </c>
      <c r="H22" s="14">
        <v>90</v>
      </c>
    </row>
    <row r="23" spans="2:8" x14ac:dyDescent="0.3">
      <c r="B23" s="1" t="s">
        <v>49</v>
      </c>
      <c r="C23" s="1" t="s">
        <v>56</v>
      </c>
      <c r="D23" s="1" t="s">
        <v>10</v>
      </c>
      <c r="E23" s="2">
        <v>44628</v>
      </c>
      <c r="F23" s="1">
        <v>98</v>
      </c>
      <c r="G23" s="1">
        <v>84</v>
      </c>
      <c r="H23" s="14">
        <v>91</v>
      </c>
    </row>
    <row r="24" spans="2:8" x14ac:dyDescent="0.3">
      <c r="B24" s="1" t="s">
        <v>46</v>
      </c>
      <c r="C24" s="1" t="s">
        <v>57</v>
      </c>
      <c r="D24" s="1" t="s">
        <v>41</v>
      </c>
      <c r="E24" s="2">
        <v>44567</v>
      </c>
      <c r="F24" s="1">
        <v>91</v>
      </c>
      <c r="G24" s="1">
        <v>87</v>
      </c>
      <c r="H24" s="14">
        <v>89</v>
      </c>
    </row>
    <row r="25" spans="2:8" x14ac:dyDescent="0.3">
      <c r="B25" s="1" t="s">
        <v>27</v>
      </c>
      <c r="C25" s="1" t="s">
        <v>58</v>
      </c>
      <c r="D25" s="1" t="s">
        <v>11</v>
      </c>
      <c r="E25" s="2">
        <v>44566</v>
      </c>
      <c r="F25" s="1">
        <v>94</v>
      </c>
      <c r="G25" s="1">
        <v>93</v>
      </c>
      <c r="H25" s="14">
        <v>93.5</v>
      </c>
    </row>
    <row r="26" spans="2:8" x14ac:dyDescent="0.3">
      <c r="B26" s="1" t="s">
        <v>50</v>
      </c>
      <c r="C26" s="1" t="s">
        <v>51</v>
      </c>
      <c r="D26" s="1" t="s">
        <v>42</v>
      </c>
      <c r="E26" s="2">
        <v>44614</v>
      </c>
      <c r="F26" s="1">
        <v>98</v>
      </c>
      <c r="G26" s="1">
        <v>93</v>
      </c>
      <c r="H26" s="14">
        <v>95.5</v>
      </c>
    </row>
    <row r="27" spans="2:8" x14ac:dyDescent="0.3">
      <c r="B27" s="1" t="s">
        <v>49</v>
      </c>
      <c r="C27" s="1" t="s">
        <v>53</v>
      </c>
      <c r="D27" s="1" t="s">
        <v>43</v>
      </c>
      <c r="E27" s="2">
        <v>44609</v>
      </c>
      <c r="F27" s="1">
        <v>99</v>
      </c>
      <c r="G27" s="1">
        <v>92</v>
      </c>
      <c r="H27" s="14">
        <v>95.5</v>
      </c>
    </row>
    <row r="29" spans="2:8" x14ac:dyDescent="0.3">
      <c r="B29" s="21" t="s">
        <v>293</v>
      </c>
    </row>
    <row r="30" spans="2:8" x14ac:dyDescent="0.3">
      <c r="B30" t="b">
        <f>AND(RIGHT(B3,2)="조리",OR(MONTH(E3)=1,H3&gt;AVERAGE($H$3:$H$27)))</f>
        <v>1</v>
      </c>
    </row>
    <row r="32" spans="2:8" x14ac:dyDescent="0.3">
      <c r="B32" s="15" t="s">
        <v>22</v>
      </c>
      <c r="C32" s="15" t="s">
        <v>0</v>
      </c>
      <c r="D32" s="15" t="s">
        <v>28</v>
      </c>
      <c r="E32" s="15" t="s">
        <v>29</v>
      </c>
    </row>
    <row r="33" spans="2:5" x14ac:dyDescent="0.3">
      <c r="B33" s="1" t="s">
        <v>24</v>
      </c>
      <c r="C33" s="1" t="s">
        <v>30</v>
      </c>
      <c r="D33" s="1">
        <v>89</v>
      </c>
      <c r="E33" s="1">
        <v>86</v>
      </c>
    </row>
    <row r="34" spans="2:5" x14ac:dyDescent="0.3">
      <c r="B34" s="1" t="s">
        <v>25</v>
      </c>
      <c r="C34" s="1" t="s">
        <v>31</v>
      </c>
      <c r="D34" s="1">
        <v>97</v>
      </c>
      <c r="E34" s="1">
        <v>86</v>
      </c>
    </row>
    <row r="35" spans="2:5" x14ac:dyDescent="0.3">
      <c r="B35" s="1" t="s">
        <v>24</v>
      </c>
      <c r="C35" s="1" t="s">
        <v>34</v>
      </c>
      <c r="D35" s="1">
        <v>66</v>
      </c>
      <c r="E35" s="1">
        <v>78</v>
      </c>
    </row>
    <row r="36" spans="2:5" x14ac:dyDescent="0.3">
      <c r="B36" s="1" t="s">
        <v>25</v>
      </c>
      <c r="C36" s="1" t="s">
        <v>35</v>
      </c>
      <c r="D36" s="1">
        <v>90</v>
      </c>
      <c r="E36" s="1">
        <v>83</v>
      </c>
    </row>
    <row r="37" spans="2:5" x14ac:dyDescent="0.3">
      <c r="B37" s="1" t="s">
        <v>24</v>
      </c>
      <c r="C37" s="1" t="s">
        <v>4</v>
      </c>
      <c r="D37" s="1">
        <v>96</v>
      </c>
      <c r="E37" s="1">
        <v>97</v>
      </c>
    </row>
    <row r="38" spans="2:5" x14ac:dyDescent="0.3">
      <c r="B38" s="1" t="s">
        <v>48</v>
      </c>
      <c r="C38" s="1" t="s">
        <v>7</v>
      </c>
      <c r="D38" s="1">
        <v>86</v>
      </c>
      <c r="E38" s="1">
        <v>83</v>
      </c>
    </row>
    <row r="39" spans="2:5" x14ac:dyDescent="0.3">
      <c r="B39" s="1" t="s">
        <v>24</v>
      </c>
      <c r="C39" s="1" t="s">
        <v>9</v>
      </c>
      <c r="D39" s="1">
        <v>97</v>
      </c>
      <c r="E39" s="1">
        <v>83</v>
      </c>
    </row>
    <row r="40" spans="2:5" x14ac:dyDescent="0.3">
      <c r="B40" s="1" t="s">
        <v>49</v>
      </c>
      <c r="C40" s="1" t="s">
        <v>10</v>
      </c>
      <c r="D40" s="1">
        <v>98</v>
      </c>
      <c r="E40" s="1">
        <v>84</v>
      </c>
    </row>
    <row r="41" spans="2:5" x14ac:dyDescent="0.3">
      <c r="B41" s="1" t="s">
        <v>48</v>
      </c>
      <c r="C41" s="1" t="s">
        <v>42</v>
      </c>
      <c r="D41" s="1">
        <v>98</v>
      </c>
      <c r="E41" s="1">
        <v>93</v>
      </c>
    </row>
    <row r="42" spans="2:5" x14ac:dyDescent="0.3">
      <c r="B42" s="1" t="s">
        <v>49</v>
      </c>
      <c r="C42" s="1" t="s">
        <v>43</v>
      </c>
      <c r="D42" s="1">
        <v>99</v>
      </c>
      <c r="E42" s="1">
        <v>92</v>
      </c>
    </row>
  </sheetData>
  <phoneticPr fontId="1" type="noConversion"/>
  <conditionalFormatting sqref="B3:H27">
    <cfRule type="expression" dxfId="0" priority="1">
      <formula>AND(MONTH($E3)=1,$H3&gt;=LARGE($H$3:$H$27,10))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41"/>
  <sheetViews>
    <sheetView zoomScaleNormal="100" workbookViewId="0">
      <selection activeCell="B5" sqref="B5"/>
    </sheetView>
  </sheetViews>
  <sheetFormatPr defaultRowHeight="16.5" x14ac:dyDescent="0.3"/>
  <cols>
    <col min="2" max="8" width="12.625" customWidth="1"/>
  </cols>
  <sheetData>
    <row r="2" spans="2:8" x14ac:dyDescent="0.3">
      <c r="B2" s="3" t="s">
        <v>61</v>
      </c>
      <c r="C2" s="3" t="s">
        <v>63</v>
      </c>
      <c r="D2" s="3" t="s">
        <v>125</v>
      </c>
      <c r="E2" s="3" t="s">
        <v>62</v>
      </c>
      <c r="F2" s="3" t="s">
        <v>126</v>
      </c>
      <c r="G2" s="3" t="s">
        <v>127</v>
      </c>
      <c r="H2" s="3" t="s">
        <v>128</v>
      </c>
    </row>
    <row r="3" spans="2:8" x14ac:dyDescent="0.3">
      <c r="B3" s="1" t="s">
        <v>84</v>
      </c>
      <c r="C3" s="1" t="s">
        <v>64</v>
      </c>
      <c r="D3" s="1" t="s">
        <v>80</v>
      </c>
      <c r="E3" s="1" t="s">
        <v>74</v>
      </c>
      <c r="F3" s="1">
        <v>35</v>
      </c>
      <c r="G3" s="4">
        <v>532000</v>
      </c>
      <c r="H3" s="1"/>
    </row>
    <row r="4" spans="2:8" x14ac:dyDescent="0.3">
      <c r="B4" s="1" t="s">
        <v>87</v>
      </c>
      <c r="C4" s="1" t="s">
        <v>65</v>
      </c>
      <c r="D4" s="1" t="s">
        <v>76</v>
      </c>
      <c r="E4" s="1" t="s">
        <v>75</v>
      </c>
      <c r="F4" s="1">
        <v>12</v>
      </c>
      <c r="G4" s="4">
        <v>637000</v>
      </c>
      <c r="H4" s="1" t="s">
        <v>129</v>
      </c>
    </row>
    <row r="5" spans="2:8" x14ac:dyDescent="0.3">
      <c r="B5" s="1" t="s">
        <v>91</v>
      </c>
      <c r="C5" s="1" t="s">
        <v>67</v>
      </c>
      <c r="D5" s="1" t="s">
        <v>79</v>
      </c>
      <c r="E5" s="1" t="s">
        <v>96</v>
      </c>
      <c r="F5" s="1">
        <v>31</v>
      </c>
      <c r="G5" s="4">
        <v>658000</v>
      </c>
      <c r="H5" s="1"/>
    </row>
    <row r="6" spans="2:8" x14ac:dyDescent="0.3">
      <c r="B6" s="1" t="s">
        <v>85</v>
      </c>
      <c r="C6" s="1" t="s">
        <v>64</v>
      </c>
      <c r="D6" s="1" t="s">
        <v>77</v>
      </c>
      <c r="E6" s="1" t="s">
        <v>97</v>
      </c>
      <c r="F6" s="1">
        <v>11</v>
      </c>
      <c r="G6" s="4">
        <v>532000</v>
      </c>
      <c r="H6" s="1"/>
    </row>
    <row r="7" spans="2:8" x14ac:dyDescent="0.3">
      <c r="B7" s="1" t="s">
        <v>92</v>
      </c>
      <c r="C7" s="1" t="s">
        <v>72</v>
      </c>
      <c r="D7" s="1" t="s">
        <v>78</v>
      </c>
      <c r="E7" s="1" t="s">
        <v>99</v>
      </c>
      <c r="F7" s="1">
        <v>15</v>
      </c>
      <c r="G7" s="4">
        <v>510000</v>
      </c>
      <c r="H7" s="1"/>
    </row>
    <row r="8" spans="2:8" x14ac:dyDescent="0.3">
      <c r="B8" s="1" t="s">
        <v>91</v>
      </c>
      <c r="C8" s="1" t="s">
        <v>68</v>
      </c>
      <c r="D8" s="1" t="s">
        <v>79</v>
      </c>
      <c r="E8" s="1" t="s">
        <v>98</v>
      </c>
      <c r="F8" s="1">
        <v>39</v>
      </c>
      <c r="G8" s="4">
        <v>658000</v>
      </c>
      <c r="H8" s="1" t="s">
        <v>129</v>
      </c>
    </row>
    <row r="9" spans="2:8" x14ac:dyDescent="0.3">
      <c r="B9" s="1" t="s">
        <v>84</v>
      </c>
      <c r="C9" s="1" t="s">
        <v>64</v>
      </c>
      <c r="D9" s="1" t="s">
        <v>80</v>
      </c>
      <c r="E9" s="1" t="s">
        <v>100</v>
      </c>
      <c r="F9" s="1">
        <v>41</v>
      </c>
      <c r="G9" s="4">
        <v>532000</v>
      </c>
      <c r="H9" s="1"/>
    </row>
    <row r="10" spans="2:8" x14ac:dyDescent="0.3">
      <c r="B10" s="1" t="s">
        <v>88</v>
      </c>
      <c r="C10" s="1" t="s">
        <v>65</v>
      </c>
      <c r="D10" s="1" t="s">
        <v>82</v>
      </c>
      <c r="E10" s="1" t="s">
        <v>100</v>
      </c>
      <c r="F10" s="1">
        <v>23</v>
      </c>
      <c r="G10" s="4">
        <v>637000</v>
      </c>
      <c r="H10" s="1" t="s">
        <v>129</v>
      </c>
    </row>
    <row r="11" spans="2:8" x14ac:dyDescent="0.3">
      <c r="B11" s="1" t="s">
        <v>87</v>
      </c>
      <c r="C11" s="1" t="s">
        <v>65</v>
      </c>
      <c r="D11" s="1" t="s">
        <v>82</v>
      </c>
      <c r="E11" s="1" t="s">
        <v>101</v>
      </c>
      <c r="F11" s="1">
        <v>21</v>
      </c>
      <c r="G11" s="4">
        <v>637000</v>
      </c>
      <c r="H11" s="1"/>
    </row>
    <row r="12" spans="2:8" x14ac:dyDescent="0.3">
      <c r="B12" s="1" t="s">
        <v>91</v>
      </c>
      <c r="C12" s="1" t="s">
        <v>69</v>
      </c>
      <c r="D12" s="1" t="s">
        <v>79</v>
      </c>
      <c r="E12" s="1" t="s">
        <v>103</v>
      </c>
      <c r="F12" s="1">
        <v>15</v>
      </c>
      <c r="G12" s="4">
        <v>658000</v>
      </c>
      <c r="H12" s="1"/>
    </row>
    <row r="13" spans="2:8" x14ac:dyDescent="0.3">
      <c r="B13" s="1" t="s">
        <v>85</v>
      </c>
      <c r="C13" s="1" t="s">
        <v>64</v>
      </c>
      <c r="D13" s="1" t="s">
        <v>80</v>
      </c>
      <c r="E13" s="1" t="s">
        <v>102</v>
      </c>
      <c r="F13" s="1">
        <v>18</v>
      </c>
      <c r="G13" s="4">
        <v>532000</v>
      </c>
      <c r="H13" s="1" t="s">
        <v>129</v>
      </c>
    </row>
    <row r="14" spans="2:8" x14ac:dyDescent="0.3">
      <c r="B14" s="1" t="s">
        <v>89</v>
      </c>
      <c r="C14" s="1" t="s">
        <v>65</v>
      </c>
      <c r="D14" s="1" t="s">
        <v>82</v>
      </c>
      <c r="E14" s="1" t="s">
        <v>104</v>
      </c>
      <c r="F14" s="1">
        <v>19</v>
      </c>
      <c r="G14" s="4">
        <v>637000</v>
      </c>
      <c r="H14" s="1"/>
    </row>
    <row r="15" spans="2:8" x14ac:dyDescent="0.3">
      <c r="B15" s="1" t="s">
        <v>86</v>
      </c>
      <c r="C15" s="1" t="s">
        <v>64</v>
      </c>
      <c r="D15" s="1" t="s">
        <v>80</v>
      </c>
      <c r="E15" s="1" t="s">
        <v>104</v>
      </c>
      <c r="F15" s="1">
        <v>20</v>
      </c>
      <c r="G15" s="4">
        <v>532000</v>
      </c>
      <c r="H15" s="1" t="s">
        <v>129</v>
      </c>
    </row>
    <row r="16" spans="2:8" x14ac:dyDescent="0.3">
      <c r="B16" s="1" t="s">
        <v>85</v>
      </c>
      <c r="C16" s="1" t="s">
        <v>64</v>
      </c>
      <c r="D16" s="1" t="s">
        <v>81</v>
      </c>
      <c r="E16" s="1" t="s">
        <v>105</v>
      </c>
      <c r="F16" s="1">
        <v>22</v>
      </c>
      <c r="G16" s="4">
        <v>532000</v>
      </c>
      <c r="H16" s="1"/>
    </row>
    <row r="17" spans="2:8" x14ac:dyDescent="0.3">
      <c r="B17" s="1" t="s">
        <v>87</v>
      </c>
      <c r="C17" s="1" t="s">
        <v>65</v>
      </c>
      <c r="D17" s="1" t="s">
        <v>76</v>
      </c>
      <c r="E17" s="1" t="s">
        <v>105</v>
      </c>
      <c r="F17" s="1">
        <v>42</v>
      </c>
      <c r="G17" s="4">
        <v>637000</v>
      </c>
      <c r="H17" s="1" t="s">
        <v>129</v>
      </c>
    </row>
    <row r="18" spans="2:8" x14ac:dyDescent="0.3">
      <c r="B18" s="1" t="s">
        <v>91</v>
      </c>
      <c r="C18" s="1" t="s">
        <v>70</v>
      </c>
      <c r="D18" s="1" t="s">
        <v>79</v>
      </c>
      <c r="E18" s="1" t="s">
        <v>106</v>
      </c>
      <c r="F18" s="1">
        <v>47</v>
      </c>
      <c r="G18" s="4">
        <v>658000</v>
      </c>
      <c r="H18" s="1"/>
    </row>
    <row r="19" spans="2:8" x14ac:dyDescent="0.3">
      <c r="B19" s="1" t="s">
        <v>85</v>
      </c>
      <c r="C19" s="1" t="s">
        <v>64</v>
      </c>
      <c r="D19" s="1" t="s">
        <v>81</v>
      </c>
      <c r="E19" s="1" t="s">
        <v>107</v>
      </c>
      <c r="F19" s="1">
        <v>12</v>
      </c>
      <c r="G19" s="4">
        <v>532000</v>
      </c>
      <c r="H19" s="1"/>
    </row>
    <row r="20" spans="2:8" x14ac:dyDescent="0.3">
      <c r="B20" s="1" t="s">
        <v>87</v>
      </c>
      <c r="C20" s="1" t="s">
        <v>65</v>
      </c>
      <c r="D20" s="1" t="s">
        <v>82</v>
      </c>
      <c r="E20" s="1" t="s">
        <v>108</v>
      </c>
      <c r="F20" s="1">
        <v>45</v>
      </c>
      <c r="G20" s="4">
        <v>637000</v>
      </c>
      <c r="H20" s="1"/>
    </row>
    <row r="21" spans="2:8" x14ac:dyDescent="0.3">
      <c r="B21" s="1" t="s">
        <v>85</v>
      </c>
      <c r="C21" s="1" t="s">
        <v>64</v>
      </c>
      <c r="D21" s="1" t="s">
        <v>80</v>
      </c>
      <c r="E21" s="1" t="s">
        <v>109</v>
      </c>
      <c r="F21" s="1">
        <v>12</v>
      </c>
      <c r="G21" s="4">
        <v>532000</v>
      </c>
      <c r="H21" s="1"/>
    </row>
    <row r="22" spans="2:8" x14ac:dyDescent="0.3">
      <c r="B22" s="1" t="s">
        <v>87</v>
      </c>
      <c r="C22" s="1" t="s">
        <v>65</v>
      </c>
      <c r="D22" s="1" t="s">
        <v>82</v>
      </c>
      <c r="E22" s="1" t="s">
        <v>109</v>
      </c>
      <c r="F22" s="1">
        <v>9</v>
      </c>
      <c r="G22" s="4">
        <v>637000</v>
      </c>
      <c r="H22" s="1" t="s">
        <v>129</v>
      </c>
    </row>
    <row r="23" spans="2:8" x14ac:dyDescent="0.3">
      <c r="B23" s="1" t="s">
        <v>91</v>
      </c>
      <c r="C23" s="1" t="s">
        <v>71</v>
      </c>
      <c r="D23" s="1" t="s">
        <v>79</v>
      </c>
      <c r="E23" s="1" t="s">
        <v>108</v>
      </c>
      <c r="F23" s="1">
        <v>5</v>
      </c>
      <c r="G23" s="4">
        <v>658000</v>
      </c>
      <c r="H23" s="1" t="s">
        <v>129</v>
      </c>
    </row>
    <row r="24" spans="2:8" x14ac:dyDescent="0.3">
      <c r="B24" s="1" t="s">
        <v>91</v>
      </c>
      <c r="C24" s="1" t="s">
        <v>67</v>
      </c>
      <c r="D24" s="1" t="s">
        <v>79</v>
      </c>
      <c r="E24" s="1" t="s">
        <v>114</v>
      </c>
      <c r="F24" s="1">
        <v>12</v>
      </c>
      <c r="G24" s="4">
        <v>658000</v>
      </c>
      <c r="H24" s="1"/>
    </row>
    <row r="25" spans="2:8" x14ac:dyDescent="0.3">
      <c r="B25" s="1" t="s">
        <v>93</v>
      </c>
      <c r="C25" s="1" t="s">
        <v>72</v>
      </c>
      <c r="D25" s="1" t="s">
        <v>83</v>
      </c>
      <c r="E25" s="1" t="s">
        <v>110</v>
      </c>
      <c r="F25" s="1">
        <v>3</v>
      </c>
      <c r="G25" s="4">
        <v>510000</v>
      </c>
      <c r="H25" s="1"/>
    </row>
    <row r="26" spans="2:8" x14ac:dyDescent="0.3">
      <c r="B26" s="1" t="s">
        <v>86</v>
      </c>
      <c r="C26" s="1" t="s">
        <v>64</v>
      </c>
      <c r="D26" s="1" t="s">
        <v>80</v>
      </c>
      <c r="E26" s="1" t="s">
        <v>111</v>
      </c>
      <c r="F26" s="1">
        <v>12</v>
      </c>
      <c r="G26" s="4">
        <v>532000</v>
      </c>
      <c r="H26" s="1" t="s">
        <v>129</v>
      </c>
    </row>
    <row r="27" spans="2:8" x14ac:dyDescent="0.3">
      <c r="B27" s="1" t="s">
        <v>86</v>
      </c>
      <c r="C27" s="1" t="s">
        <v>64</v>
      </c>
      <c r="D27" s="1" t="s">
        <v>80</v>
      </c>
      <c r="E27" s="1" t="s">
        <v>112</v>
      </c>
      <c r="F27" s="1">
        <v>6</v>
      </c>
      <c r="G27" s="4">
        <v>532000</v>
      </c>
      <c r="H27" s="1"/>
    </row>
    <row r="28" spans="2:8" x14ac:dyDescent="0.3">
      <c r="B28" s="1" t="s">
        <v>87</v>
      </c>
      <c r="C28" s="1" t="s">
        <v>65</v>
      </c>
      <c r="D28" s="1" t="s">
        <v>82</v>
      </c>
      <c r="E28" s="1" t="s">
        <v>113</v>
      </c>
      <c r="F28" s="1">
        <v>18</v>
      </c>
      <c r="G28" s="4">
        <v>637000</v>
      </c>
      <c r="H28" s="1" t="s">
        <v>129</v>
      </c>
    </row>
    <row r="29" spans="2:8" x14ac:dyDescent="0.3">
      <c r="B29" s="1" t="s">
        <v>91</v>
      </c>
      <c r="C29" s="1" t="s">
        <v>67</v>
      </c>
      <c r="D29" s="1" t="s">
        <v>79</v>
      </c>
      <c r="E29" s="1" t="s">
        <v>115</v>
      </c>
      <c r="F29" s="1">
        <v>12</v>
      </c>
      <c r="G29" s="4">
        <v>658000</v>
      </c>
      <c r="H29" s="1"/>
    </row>
    <row r="30" spans="2:8" x14ac:dyDescent="0.3">
      <c r="B30" s="1" t="s">
        <v>93</v>
      </c>
      <c r="C30" s="1" t="s">
        <v>72</v>
      </c>
      <c r="D30" s="1" t="s">
        <v>83</v>
      </c>
      <c r="E30" s="1" t="s">
        <v>116</v>
      </c>
      <c r="F30" s="1">
        <v>14</v>
      </c>
      <c r="G30" s="4">
        <v>510000</v>
      </c>
      <c r="H30" s="1"/>
    </row>
    <row r="31" spans="2:8" x14ac:dyDescent="0.3">
      <c r="B31" s="1" t="s">
        <v>85</v>
      </c>
      <c r="C31" s="1" t="s">
        <v>64</v>
      </c>
      <c r="D31" s="1" t="s">
        <v>80</v>
      </c>
      <c r="E31" s="1" t="s">
        <v>116</v>
      </c>
      <c r="F31" s="1">
        <v>15</v>
      </c>
      <c r="G31" s="4">
        <v>532000</v>
      </c>
      <c r="H31" s="1" t="s">
        <v>129</v>
      </c>
    </row>
    <row r="32" spans="2:8" x14ac:dyDescent="0.3">
      <c r="B32" s="1" t="s">
        <v>89</v>
      </c>
      <c r="C32" s="1" t="s">
        <v>65</v>
      </c>
      <c r="D32" s="1" t="s">
        <v>82</v>
      </c>
      <c r="E32" s="1" t="s">
        <v>117</v>
      </c>
      <c r="F32" s="1">
        <v>41</v>
      </c>
      <c r="G32" s="4">
        <v>637000</v>
      </c>
      <c r="H32" s="1"/>
    </row>
    <row r="33" spans="2:8" x14ac:dyDescent="0.3">
      <c r="B33" s="1" t="s">
        <v>85</v>
      </c>
      <c r="C33" s="1" t="s">
        <v>64</v>
      </c>
      <c r="D33" s="1" t="s">
        <v>80</v>
      </c>
      <c r="E33" s="1" t="s">
        <v>117</v>
      </c>
      <c r="F33" s="1">
        <v>12</v>
      </c>
      <c r="G33" s="4">
        <v>532000</v>
      </c>
      <c r="H33" s="1" t="s">
        <v>129</v>
      </c>
    </row>
    <row r="34" spans="2:8" x14ac:dyDescent="0.3">
      <c r="B34" s="1" t="s">
        <v>85</v>
      </c>
      <c r="C34" s="1" t="s">
        <v>64</v>
      </c>
      <c r="D34" s="1" t="s">
        <v>80</v>
      </c>
      <c r="E34" s="1" t="s">
        <v>118</v>
      </c>
      <c r="F34" s="1">
        <v>32</v>
      </c>
      <c r="G34" s="4">
        <v>532000</v>
      </c>
      <c r="H34" s="1"/>
    </row>
    <row r="35" spans="2:8" x14ac:dyDescent="0.3">
      <c r="B35" s="1" t="s">
        <v>90</v>
      </c>
      <c r="C35" s="1" t="s">
        <v>66</v>
      </c>
      <c r="D35" s="1" t="s">
        <v>76</v>
      </c>
      <c r="E35" s="1" t="s">
        <v>118</v>
      </c>
      <c r="F35" s="1">
        <v>21</v>
      </c>
      <c r="G35" s="4">
        <v>637000</v>
      </c>
      <c r="H35" s="1" t="s">
        <v>129</v>
      </c>
    </row>
    <row r="36" spans="2:8" x14ac:dyDescent="0.3">
      <c r="B36" s="1" t="s">
        <v>91</v>
      </c>
      <c r="C36" s="1" t="s">
        <v>71</v>
      </c>
      <c r="D36" s="1" t="s">
        <v>79</v>
      </c>
      <c r="E36" s="1" t="s">
        <v>119</v>
      </c>
      <c r="F36" s="1">
        <v>42</v>
      </c>
      <c r="G36" s="4">
        <v>658000</v>
      </c>
      <c r="H36" s="1"/>
    </row>
    <row r="37" spans="2:8" x14ac:dyDescent="0.3">
      <c r="B37" s="1" t="s">
        <v>87</v>
      </c>
      <c r="C37" s="1" t="s">
        <v>65</v>
      </c>
      <c r="D37" s="1" t="s">
        <v>82</v>
      </c>
      <c r="E37" s="1" t="s">
        <v>120</v>
      </c>
      <c r="F37" s="1">
        <v>32</v>
      </c>
      <c r="G37" s="4">
        <v>637000</v>
      </c>
      <c r="H37" s="1"/>
    </row>
    <row r="38" spans="2:8" x14ac:dyDescent="0.3">
      <c r="B38" s="1" t="s">
        <v>85</v>
      </c>
      <c r="C38" s="1" t="s">
        <v>64</v>
      </c>
      <c r="D38" s="1" t="s">
        <v>80</v>
      </c>
      <c r="E38" s="1" t="s">
        <v>121</v>
      </c>
      <c r="F38" s="1">
        <v>37</v>
      </c>
      <c r="G38" s="4">
        <v>532000</v>
      </c>
      <c r="H38" s="1"/>
    </row>
    <row r="39" spans="2:8" x14ac:dyDescent="0.3">
      <c r="B39" s="1" t="s">
        <v>87</v>
      </c>
      <c r="C39" s="1" t="s">
        <v>65</v>
      </c>
      <c r="D39" s="1" t="s">
        <v>82</v>
      </c>
      <c r="E39" s="1" t="s">
        <v>122</v>
      </c>
      <c r="F39" s="1">
        <v>31</v>
      </c>
      <c r="G39" s="4">
        <v>637000</v>
      </c>
      <c r="H39" s="1" t="s">
        <v>129</v>
      </c>
    </row>
    <row r="40" spans="2:8" x14ac:dyDescent="0.3">
      <c r="B40" s="1" t="s">
        <v>94</v>
      </c>
      <c r="C40" s="1" t="s">
        <v>72</v>
      </c>
      <c r="D40" s="1" t="s">
        <v>83</v>
      </c>
      <c r="E40" s="1" t="s">
        <v>123</v>
      </c>
      <c r="F40" s="1">
        <v>12</v>
      </c>
      <c r="G40" s="4">
        <v>510000</v>
      </c>
      <c r="H40" s="1"/>
    </row>
    <row r="41" spans="2:8" x14ac:dyDescent="0.3">
      <c r="B41" s="1" t="s">
        <v>95</v>
      </c>
      <c r="C41" s="1" t="s">
        <v>73</v>
      </c>
      <c r="D41" s="1" t="s">
        <v>83</v>
      </c>
      <c r="E41" s="1" t="s">
        <v>124</v>
      </c>
      <c r="F41" s="1">
        <v>11</v>
      </c>
      <c r="G41" s="4">
        <v>510000</v>
      </c>
      <c r="H41" s="1"/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&amp;L&amp;P페이지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N24"/>
  <sheetViews>
    <sheetView tabSelected="1" workbookViewId="0">
      <selection activeCell="M12" sqref="M12"/>
    </sheetView>
  </sheetViews>
  <sheetFormatPr defaultRowHeight="13.5" x14ac:dyDescent="0.3"/>
  <cols>
    <col min="1" max="1" width="5.25" style="5" customWidth="1"/>
    <col min="2" max="9" width="11.75" style="5" customWidth="1"/>
    <col min="10" max="10" width="12.5" style="5" customWidth="1"/>
    <col min="11" max="11" width="2.625" style="5" customWidth="1"/>
    <col min="12" max="16384" width="9" style="5"/>
  </cols>
  <sheetData>
    <row r="2" spans="2:14" x14ac:dyDescent="0.3">
      <c r="B2" s="5" t="s">
        <v>172</v>
      </c>
      <c r="L2" s="5" t="s">
        <v>297</v>
      </c>
    </row>
    <row r="3" spans="2:14" x14ac:dyDescent="0.3">
      <c r="B3" s="8" t="s">
        <v>12</v>
      </c>
      <c r="C3" s="8" t="s">
        <v>149</v>
      </c>
      <c r="D3" s="8" t="s">
        <v>131</v>
      </c>
      <c r="E3" s="8" t="s">
        <v>139</v>
      </c>
      <c r="F3" s="8" t="s">
        <v>145</v>
      </c>
      <c r="G3" s="8" t="s">
        <v>146</v>
      </c>
      <c r="H3" s="8" t="s">
        <v>138</v>
      </c>
      <c r="I3" s="8" t="s">
        <v>150</v>
      </c>
      <c r="J3" s="8" t="s">
        <v>21</v>
      </c>
      <c r="L3" s="8" t="s">
        <v>13</v>
      </c>
      <c r="M3" s="8" t="s">
        <v>295</v>
      </c>
      <c r="N3" s="8" t="s">
        <v>296</v>
      </c>
    </row>
    <row r="4" spans="2:14" x14ac:dyDescent="0.3">
      <c r="B4" s="6" t="s">
        <v>161</v>
      </c>
      <c r="C4" s="9">
        <v>44581</v>
      </c>
      <c r="D4" s="6" t="s">
        <v>132</v>
      </c>
      <c r="E4" s="6" t="s">
        <v>140</v>
      </c>
      <c r="F4" s="6">
        <v>97</v>
      </c>
      <c r="G4" s="6">
        <v>91</v>
      </c>
      <c r="H4" s="16" t="str">
        <f>TEXT(TRUNC(AVERAGE(F4:G4),1),"0.0점")</f>
        <v>94.0점</v>
      </c>
      <c r="I4" s="7" t="str">
        <f>IF(AND(ISODD(MONTH(C4)),OR(F4&gt;=90,G4&gt;=90)),"시험접수","")</f>
        <v>시험접수</v>
      </c>
      <c r="J4" s="6" t="str" cm="1">
        <f t="array" ref="J4">fn비고(F4,G4)</f>
        <v/>
      </c>
      <c r="L4" s="6" t="s">
        <v>14</v>
      </c>
      <c r="M4" s="22">
        <f t="array" ref="M4">AVERAGE(IF(($D$4:$D$24=$L4)*($E$4:$E$24=M$3),($F$4:$F$24)))</f>
        <v>90</v>
      </c>
      <c r="N4" s="22">
        <f t="array" ref="N4">AVERAGE(IF(($D$4:$D$24=$L4)*($E$4:$E$24=N$3),($F$4:$F$24)))</f>
        <v>94.333333333333329</v>
      </c>
    </row>
    <row r="5" spans="2:14" x14ac:dyDescent="0.3">
      <c r="B5" s="6" t="s">
        <v>162</v>
      </c>
      <c r="C5" s="9">
        <v>43952</v>
      </c>
      <c r="D5" s="6" t="s">
        <v>15</v>
      </c>
      <c r="E5" s="6" t="s">
        <v>141</v>
      </c>
      <c r="F5" s="6">
        <v>97</v>
      </c>
      <c r="G5" s="6">
        <v>92</v>
      </c>
      <c r="H5" s="16" t="str">
        <f t="shared" ref="H5:H24" si="0">TEXT(TRUNC(AVERAGE(F5:G5),1),"0.0점")</f>
        <v>94.5점</v>
      </c>
      <c r="I5" s="7" t="str">
        <f t="shared" ref="I5:I24" si="1">IF(AND(ISODD(MONTH(C5)),OR(F5&gt;=90,G5&gt;=90)),"시험접수","")</f>
        <v>시험접수</v>
      </c>
      <c r="J5" s="6" t="str" cm="1">
        <f t="array" ref="J5">fn비고(F5,G5)</f>
        <v/>
      </c>
      <c r="L5" s="6" t="s">
        <v>18</v>
      </c>
      <c r="M5" s="22">
        <f t="array" ref="M5">AVERAGE(IF(($D$4:$D$24=$L5)*($E$4:$E$24=M$3),($F$4:$F$24)))</f>
        <v>89.6</v>
      </c>
      <c r="N5" s="22">
        <f t="array" ref="N5">AVERAGE(IF(($D$4:$D$24=$L5)*($E$4:$E$24=N$3),($F$4:$F$24)))</f>
        <v>90.666666666666671</v>
      </c>
    </row>
    <row r="6" spans="2:14" x14ac:dyDescent="0.3">
      <c r="B6" s="6" t="s">
        <v>163</v>
      </c>
      <c r="C6" s="9">
        <v>44275</v>
      </c>
      <c r="D6" s="6" t="s">
        <v>14</v>
      </c>
      <c r="E6" s="6" t="s">
        <v>142</v>
      </c>
      <c r="F6" s="6">
        <v>96</v>
      </c>
      <c r="G6" s="6">
        <v>95</v>
      </c>
      <c r="H6" s="16" t="str">
        <f t="shared" si="0"/>
        <v>95.5점</v>
      </c>
      <c r="I6" s="7" t="str">
        <f t="shared" si="1"/>
        <v>시험접수</v>
      </c>
      <c r="J6" s="6" t="str" cm="1">
        <f t="array" ref="J6">fn비고(F6,G6)</f>
        <v/>
      </c>
      <c r="L6" s="6" t="s">
        <v>175</v>
      </c>
      <c r="M6" s="22">
        <f t="array" ref="M6">AVERAGE(IF(($D$4:$D$24=$L6)*($E$4:$E$24=M$3),($F$4:$F$24)))</f>
        <v>91.666666666666671</v>
      </c>
      <c r="N6" s="22">
        <f t="array" ref="N6">AVERAGE(IF(($D$4:$D$24=$L6)*($E$4:$E$24=N$3),($F$4:$F$24)))</f>
        <v>91.666666666666671</v>
      </c>
    </row>
    <row r="7" spans="2:14" x14ac:dyDescent="0.3">
      <c r="B7" s="6" t="s">
        <v>164</v>
      </c>
      <c r="C7" s="9">
        <v>44449</v>
      </c>
      <c r="D7" s="6" t="s">
        <v>16</v>
      </c>
      <c r="E7" s="6" t="s">
        <v>140</v>
      </c>
      <c r="F7" s="6">
        <v>95</v>
      </c>
      <c r="G7" s="6">
        <v>100</v>
      </c>
      <c r="H7" s="16" t="str">
        <f t="shared" si="0"/>
        <v>97.5점</v>
      </c>
      <c r="I7" s="7" t="str">
        <f t="shared" si="1"/>
        <v>시험접수</v>
      </c>
      <c r="J7" s="6" t="str" cm="1">
        <f t="array" ref="J7">fn비고(F7,G7)</f>
        <v/>
      </c>
    </row>
    <row r="8" spans="2:14" x14ac:dyDescent="0.3">
      <c r="B8" s="6" t="s">
        <v>165</v>
      </c>
      <c r="C8" s="9">
        <v>43835</v>
      </c>
      <c r="D8" s="6" t="s">
        <v>132</v>
      </c>
      <c r="E8" s="6" t="s">
        <v>143</v>
      </c>
      <c r="F8" s="6">
        <v>94</v>
      </c>
      <c r="G8" s="6">
        <v>100</v>
      </c>
      <c r="H8" s="16" t="str">
        <f t="shared" si="0"/>
        <v>97.0점</v>
      </c>
      <c r="I8" s="7" t="str">
        <f t="shared" si="1"/>
        <v>시험접수</v>
      </c>
      <c r="J8" s="6" t="str" cm="1">
        <f t="array" ref="J8">fn비고(F8,G8)</f>
        <v/>
      </c>
      <c r="L8" s="5" t="s">
        <v>298</v>
      </c>
    </row>
    <row r="9" spans="2:14" x14ac:dyDescent="0.3">
      <c r="B9" s="6" t="s">
        <v>166</v>
      </c>
      <c r="C9" s="9">
        <v>44713</v>
      </c>
      <c r="D9" s="6" t="s">
        <v>133</v>
      </c>
      <c r="E9" s="6" t="s">
        <v>141</v>
      </c>
      <c r="F9" s="6">
        <v>89</v>
      </c>
      <c r="G9" s="6">
        <v>99</v>
      </c>
      <c r="H9" s="16" t="str">
        <f t="shared" si="0"/>
        <v>94.0점</v>
      </c>
      <c r="I9" s="7" t="str">
        <f t="shared" si="1"/>
        <v/>
      </c>
      <c r="J9" s="6" t="str" cm="1">
        <f t="array" ref="J9">fn비고(F9,G9)</f>
        <v>과제평가</v>
      </c>
      <c r="L9" s="11" t="s">
        <v>294</v>
      </c>
      <c r="M9" s="11" t="s">
        <v>173</v>
      </c>
      <c r="N9" s="11" t="s">
        <v>174</v>
      </c>
    </row>
    <row r="10" spans="2:14" x14ac:dyDescent="0.3">
      <c r="B10" s="6" t="s">
        <v>151</v>
      </c>
      <c r="C10" s="9">
        <v>44470</v>
      </c>
      <c r="D10" s="6" t="s">
        <v>17</v>
      </c>
      <c r="E10" s="6" t="s">
        <v>141</v>
      </c>
      <c r="F10" s="6">
        <v>86</v>
      </c>
      <c r="G10" s="6">
        <v>91</v>
      </c>
      <c r="H10" s="16" t="str">
        <f t="shared" si="0"/>
        <v>88.5점</v>
      </c>
      <c r="I10" s="7" t="str">
        <f t="shared" si="1"/>
        <v/>
      </c>
      <c r="J10" s="6" t="str" cm="1">
        <f t="array" ref="J10">fn비고(F10,G10)</f>
        <v>과제평가</v>
      </c>
      <c r="L10" s="10">
        <v>2020</v>
      </c>
      <c r="M10" s="10" t="str" cm="1">
        <f t="array" ref="M10">_xlfn.CONCAT(SUM(IF((YEAR($C$4:$C$24)=$L10)*($E$4:$E$24=M$9),1)),"명")</f>
        <v>2명</v>
      </c>
      <c r="N10" s="10" t="str">
        <f t="array" ref="N10">_xlfn.CONCAT(SUM(IF((YEAR($C$4:$C$24)=$L10)*($E$4:$E$24=N$9),1,0)),"명")</f>
        <v>4명</v>
      </c>
    </row>
    <row r="11" spans="2:14" x14ac:dyDescent="0.3">
      <c r="B11" s="6" t="s">
        <v>167</v>
      </c>
      <c r="C11" s="9">
        <v>44145</v>
      </c>
      <c r="D11" s="6" t="s">
        <v>18</v>
      </c>
      <c r="E11" s="6" t="s">
        <v>140</v>
      </c>
      <c r="F11" s="6">
        <v>91</v>
      </c>
      <c r="G11" s="6">
        <v>92</v>
      </c>
      <c r="H11" s="16" t="str">
        <f t="shared" si="0"/>
        <v>91.5점</v>
      </c>
      <c r="I11" s="7" t="str">
        <f t="shared" si="1"/>
        <v>시험접수</v>
      </c>
      <c r="J11" s="6" t="str" cm="1">
        <f t="array" ref="J11">fn비고(F11,G11)</f>
        <v/>
      </c>
      <c r="L11" s="10">
        <v>2021</v>
      </c>
      <c r="M11" s="10" t="str" cm="1">
        <f t="array" ref="M11">_xlfn.CONCAT(SUM(IF((YEAR($C$4:$C$24)=$L11)*($E$4:$E$24=M$9),1)),"명")</f>
        <v>6명</v>
      </c>
      <c r="N11" s="10" t="str">
        <f t="array" ref="N11">_xlfn.CONCAT(SUM(IF((YEAR($C$4:$C$24)=$L11)*($E$4:$E$24=N$9),1,0)),"명")</f>
        <v>4명</v>
      </c>
    </row>
    <row r="12" spans="2:14" x14ac:dyDescent="0.3">
      <c r="B12" s="6" t="s">
        <v>152</v>
      </c>
      <c r="C12" s="9">
        <v>43924</v>
      </c>
      <c r="D12" s="6" t="s">
        <v>14</v>
      </c>
      <c r="E12" s="6" t="s">
        <v>140</v>
      </c>
      <c r="F12" s="6">
        <v>92</v>
      </c>
      <c r="G12" s="6">
        <v>90</v>
      </c>
      <c r="H12" s="16" t="str">
        <f t="shared" si="0"/>
        <v>91.0점</v>
      </c>
      <c r="I12" s="7" t="str">
        <f t="shared" si="1"/>
        <v/>
      </c>
      <c r="J12" s="6" t="str" cm="1">
        <f t="array" ref="J12">fn비고(F12,G12)</f>
        <v/>
      </c>
      <c r="L12" s="10">
        <v>2022</v>
      </c>
      <c r="M12" s="10" t="str" cm="1">
        <f t="array" ref="M12">_xlfn.CONCAT(SUM(IF((YEAR($C$4:$C$24)=$L12)*($E$4:$E$24=M$9),1)),"명")</f>
        <v>4명</v>
      </c>
      <c r="N12" s="10" t="str">
        <f t="array" ref="N12">_xlfn.CONCAT(SUM(IF((YEAR($C$4:$C$24)=$L12)*($E$4:$E$24=N$9),1,0)),"명")</f>
        <v>1명</v>
      </c>
    </row>
    <row r="13" spans="2:14" x14ac:dyDescent="0.3">
      <c r="B13" s="6" t="s">
        <v>153</v>
      </c>
      <c r="C13" s="9">
        <v>44352</v>
      </c>
      <c r="D13" s="6" t="s">
        <v>19</v>
      </c>
      <c r="E13" s="6" t="s">
        <v>144</v>
      </c>
      <c r="F13" s="6">
        <v>92</v>
      </c>
      <c r="G13" s="6">
        <v>95</v>
      </c>
      <c r="H13" s="16" t="str">
        <f t="shared" si="0"/>
        <v>93.5점</v>
      </c>
      <c r="I13" s="7" t="str">
        <f t="shared" si="1"/>
        <v/>
      </c>
      <c r="J13" s="6" t="str" cm="1">
        <f t="array" ref="J13">fn비고(F13,G13)</f>
        <v/>
      </c>
      <c r="L13" s="17"/>
      <c r="M13" s="17"/>
      <c r="N13" s="17"/>
    </row>
    <row r="14" spans="2:14" x14ac:dyDescent="0.3">
      <c r="B14" s="6" t="s">
        <v>154</v>
      </c>
      <c r="C14" s="9">
        <v>44602</v>
      </c>
      <c r="D14" s="6" t="s">
        <v>133</v>
      </c>
      <c r="E14" s="6" t="s">
        <v>147</v>
      </c>
      <c r="F14" s="6">
        <v>92</v>
      </c>
      <c r="G14" s="6">
        <v>89</v>
      </c>
      <c r="H14" s="16" t="str">
        <f t="shared" si="0"/>
        <v>90.5점</v>
      </c>
      <c r="I14" s="7" t="str">
        <f t="shared" si="1"/>
        <v/>
      </c>
      <c r="J14" s="6" t="str" cm="1">
        <f t="array" ref="J14">fn비고(F14,G14)</f>
        <v>과제평가</v>
      </c>
    </row>
    <row r="15" spans="2:14" x14ac:dyDescent="0.3">
      <c r="B15" s="6" t="s">
        <v>155</v>
      </c>
      <c r="C15" s="9">
        <v>44640</v>
      </c>
      <c r="D15" s="6" t="s">
        <v>18</v>
      </c>
      <c r="E15" s="6" t="s">
        <v>141</v>
      </c>
      <c r="F15" s="6">
        <v>91</v>
      </c>
      <c r="G15" s="6">
        <v>89</v>
      </c>
      <c r="H15" s="16" t="str">
        <f t="shared" si="0"/>
        <v>90.0점</v>
      </c>
      <c r="I15" s="7" t="str">
        <f t="shared" si="1"/>
        <v>시험접수</v>
      </c>
      <c r="J15" s="6" t="str" cm="1">
        <f t="array" ref="J15">fn비고(F15,G15)</f>
        <v>과제평가</v>
      </c>
    </row>
    <row r="16" spans="2:14" x14ac:dyDescent="0.3">
      <c r="B16" s="6" t="s">
        <v>156</v>
      </c>
      <c r="C16" s="9">
        <v>44474</v>
      </c>
      <c r="D16" s="6" t="s">
        <v>20</v>
      </c>
      <c r="E16" s="6" t="s">
        <v>140</v>
      </c>
      <c r="F16" s="6">
        <v>90</v>
      </c>
      <c r="G16" s="6">
        <v>88</v>
      </c>
      <c r="H16" s="16" t="str">
        <f t="shared" si="0"/>
        <v>89.0점</v>
      </c>
      <c r="I16" s="7" t="str">
        <f t="shared" si="1"/>
        <v/>
      </c>
      <c r="J16" s="6" t="str" cm="1">
        <f t="array" ref="J16">fn비고(F16,G16)</f>
        <v>과제평가</v>
      </c>
    </row>
    <row r="17" spans="2:10" x14ac:dyDescent="0.3">
      <c r="B17" s="10" t="s">
        <v>157</v>
      </c>
      <c r="C17" s="9">
        <v>44199</v>
      </c>
      <c r="D17" s="10" t="s">
        <v>134</v>
      </c>
      <c r="E17" s="10" t="s">
        <v>140</v>
      </c>
      <c r="F17" s="10">
        <v>89</v>
      </c>
      <c r="G17" s="10">
        <v>86</v>
      </c>
      <c r="H17" s="16" t="str">
        <f t="shared" si="0"/>
        <v>87.5점</v>
      </c>
      <c r="I17" s="7" t="str">
        <f t="shared" si="1"/>
        <v/>
      </c>
      <c r="J17" s="6" t="str" cm="1">
        <f t="array" ref="J17">fn비고(F17,G17)</f>
        <v>보충수강</v>
      </c>
    </row>
    <row r="18" spans="2:10" x14ac:dyDescent="0.3">
      <c r="B18" s="10" t="s">
        <v>158</v>
      </c>
      <c r="C18" s="9">
        <v>44155</v>
      </c>
      <c r="D18" s="10" t="s">
        <v>133</v>
      </c>
      <c r="E18" s="10" t="s">
        <v>140</v>
      </c>
      <c r="F18" s="10">
        <v>89</v>
      </c>
      <c r="G18" s="10">
        <v>88</v>
      </c>
      <c r="H18" s="16" t="str">
        <f t="shared" si="0"/>
        <v>88.5점</v>
      </c>
      <c r="I18" s="7" t="str">
        <f t="shared" si="1"/>
        <v/>
      </c>
      <c r="J18" s="6" t="str" cm="1">
        <f t="array" ref="J18">fn비고(F18,G18)</f>
        <v>보충수강</v>
      </c>
    </row>
    <row r="19" spans="2:10" x14ac:dyDescent="0.3">
      <c r="B19" s="10" t="s">
        <v>159</v>
      </c>
      <c r="C19" s="9">
        <v>44534</v>
      </c>
      <c r="D19" s="10" t="s">
        <v>135</v>
      </c>
      <c r="E19" s="10" t="s">
        <v>141</v>
      </c>
      <c r="F19" s="10">
        <v>86</v>
      </c>
      <c r="G19" s="10">
        <v>81</v>
      </c>
      <c r="H19" s="16" t="str">
        <f t="shared" si="0"/>
        <v>83.5점</v>
      </c>
      <c r="I19" s="7" t="str">
        <f t="shared" si="1"/>
        <v/>
      </c>
      <c r="J19" s="6" t="str" cm="1">
        <f t="array" ref="J19">fn비고(F19,G19)</f>
        <v>보충수강</v>
      </c>
    </row>
    <row r="20" spans="2:10" x14ac:dyDescent="0.3">
      <c r="B20" s="10" t="s">
        <v>160</v>
      </c>
      <c r="C20" s="9">
        <v>44538</v>
      </c>
      <c r="D20" s="10" t="s">
        <v>130</v>
      </c>
      <c r="E20" s="10" t="s">
        <v>141</v>
      </c>
      <c r="F20" s="10">
        <v>85</v>
      </c>
      <c r="G20" s="10">
        <v>98</v>
      </c>
      <c r="H20" s="16" t="str">
        <f t="shared" si="0"/>
        <v>91.5점</v>
      </c>
      <c r="I20" s="7" t="str">
        <f t="shared" si="1"/>
        <v/>
      </c>
      <c r="J20" s="6" t="str" cm="1">
        <f t="array" ref="J20">fn비고(F20,G20)</f>
        <v>과제평가</v>
      </c>
    </row>
    <row r="21" spans="2:10" x14ac:dyDescent="0.3">
      <c r="B21" s="10" t="s">
        <v>168</v>
      </c>
      <c r="C21" s="9">
        <v>44621</v>
      </c>
      <c r="D21" s="10" t="s">
        <v>136</v>
      </c>
      <c r="E21" s="10" t="s">
        <v>141</v>
      </c>
      <c r="F21" s="10">
        <v>88</v>
      </c>
      <c r="G21" s="10">
        <v>92</v>
      </c>
      <c r="H21" s="16" t="str">
        <f t="shared" si="0"/>
        <v>90.0점</v>
      </c>
      <c r="I21" s="7" t="str">
        <f t="shared" si="1"/>
        <v>시험접수</v>
      </c>
      <c r="J21" s="6" t="str" cm="1">
        <f t="array" ref="J21">fn비고(F21,G21)</f>
        <v>과제평가</v>
      </c>
    </row>
    <row r="22" spans="2:10" x14ac:dyDescent="0.3">
      <c r="B22" s="10" t="s">
        <v>169</v>
      </c>
      <c r="C22" s="9">
        <v>44185</v>
      </c>
      <c r="D22" s="10" t="s">
        <v>15</v>
      </c>
      <c r="E22" s="10" t="s">
        <v>140</v>
      </c>
      <c r="F22" s="10">
        <v>91</v>
      </c>
      <c r="G22" s="10">
        <v>91</v>
      </c>
      <c r="H22" s="16" t="str">
        <f t="shared" si="0"/>
        <v>91.0점</v>
      </c>
      <c r="I22" s="7" t="str">
        <f t="shared" si="1"/>
        <v/>
      </c>
      <c r="J22" s="6" t="str" cm="1">
        <f t="array" ref="J22">fn비고(F22,G22)</f>
        <v/>
      </c>
    </row>
    <row r="23" spans="2:10" ht="12" customHeight="1" x14ac:dyDescent="0.3">
      <c r="B23" s="10" t="s">
        <v>170</v>
      </c>
      <c r="C23" s="9">
        <v>44477</v>
      </c>
      <c r="D23" s="10" t="s">
        <v>137</v>
      </c>
      <c r="E23" s="10" t="s">
        <v>141</v>
      </c>
      <c r="F23" s="10">
        <v>92</v>
      </c>
      <c r="G23" s="10">
        <v>90</v>
      </c>
      <c r="H23" s="16" t="str">
        <f t="shared" si="0"/>
        <v>91.0점</v>
      </c>
      <c r="I23" s="7" t="str">
        <f t="shared" si="1"/>
        <v/>
      </c>
      <c r="J23" s="6" t="str" cm="1">
        <f t="array" ref="J23">fn비고(F23,G23)</f>
        <v/>
      </c>
    </row>
    <row r="24" spans="2:10" x14ac:dyDescent="0.3">
      <c r="B24" s="10" t="s">
        <v>171</v>
      </c>
      <c r="C24" s="9">
        <v>44458</v>
      </c>
      <c r="D24" s="10" t="s">
        <v>130</v>
      </c>
      <c r="E24" s="10" t="s">
        <v>148</v>
      </c>
      <c r="F24" s="10">
        <v>91</v>
      </c>
      <c r="G24" s="10">
        <v>91</v>
      </c>
      <c r="H24" s="16" t="str">
        <f t="shared" si="0"/>
        <v>91.0점</v>
      </c>
      <c r="I24" s="7" t="str">
        <f t="shared" si="1"/>
        <v>시험접수</v>
      </c>
      <c r="J24" s="6" t="str" cm="1">
        <f t="array" ref="J24">fn비고(F24,G24)</f>
        <v/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E10"/>
  <sheetViews>
    <sheetView workbookViewId="0">
      <selection activeCell="C21" sqref="C21"/>
    </sheetView>
  </sheetViews>
  <sheetFormatPr defaultRowHeight="16.5" x14ac:dyDescent="0.3"/>
  <cols>
    <col min="2" max="2" width="13.25" customWidth="1"/>
    <col min="3" max="4" width="9.5" customWidth="1"/>
    <col min="5" max="5" width="8.375" customWidth="1"/>
    <col min="6" max="6" width="13.125" customWidth="1"/>
    <col min="7" max="7" width="15.875" customWidth="1"/>
    <col min="8" max="8" width="18" customWidth="1"/>
    <col min="9" max="9" width="9.625" customWidth="1"/>
  </cols>
  <sheetData>
    <row r="1" spans="2:5" x14ac:dyDescent="0.3">
      <c r="B1" s="23" t="s">
        <v>305</v>
      </c>
      <c r="C1" t="s">
        <v>306</v>
      </c>
    </row>
    <row r="3" spans="2:5" x14ac:dyDescent="0.3">
      <c r="B3" s="24" t="s">
        <v>309</v>
      </c>
      <c r="C3" s="24" t="s">
        <v>310</v>
      </c>
      <c r="D3" s="21"/>
      <c r="E3" s="21"/>
    </row>
    <row r="4" spans="2:5" x14ac:dyDescent="0.3">
      <c r="B4" s="24" t="s">
        <v>311</v>
      </c>
      <c r="C4" s="25" t="s">
        <v>307</v>
      </c>
      <c r="D4" s="25" t="s">
        <v>308</v>
      </c>
      <c r="E4" s="25" t="s">
        <v>299</v>
      </c>
    </row>
    <row r="5" spans="2:5" x14ac:dyDescent="0.3">
      <c r="B5" s="25" t="s">
        <v>300</v>
      </c>
      <c r="C5" s="26">
        <v>7.6923076923076927E-2</v>
      </c>
      <c r="D5" s="26">
        <v>0</v>
      </c>
      <c r="E5" s="26">
        <v>5.3435114503816793E-2</v>
      </c>
    </row>
    <row r="6" spans="2:5" x14ac:dyDescent="0.3">
      <c r="B6" s="25" t="s">
        <v>301</v>
      </c>
      <c r="C6" s="26">
        <v>6.5934065934065936E-2</v>
      </c>
      <c r="D6" s="26">
        <v>0.15</v>
      </c>
      <c r="E6" s="26">
        <v>9.1603053435114504E-2</v>
      </c>
    </row>
    <row r="7" spans="2:5" x14ac:dyDescent="0.3">
      <c r="B7" s="25" t="s">
        <v>302</v>
      </c>
      <c r="C7" s="26">
        <v>0.19780219780219779</v>
      </c>
      <c r="D7" s="26">
        <v>0.3125</v>
      </c>
      <c r="E7" s="26">
        <v>0.23282442748091603</v>
      </c>
    </row>
    <row r="8" spans="2:5" x14ac:dyDescent="0.3">
      <c r="B8" s="25" t="s">
        <v>303</v>
      </c>
      <c r="C8" s="26">
        <v>0.43956043956043955</v>
      </c>
      <c r="D8" s="26">
        <v>0.2</v>
      </c>
      <c r="E8" s="26">
        <v>0.36641221374045801</v>
      </c>
    </row>
    <row r="9" spans="2:5" x14ac:dyDescent="0.3">
      <c r="B9" s="25" t="s">
        <v>304</v>
      </c>
      <c r="C9" s="26">
        <v>0.21978021978021978</v>
      </c>
      <c r="D9" s="26">
        <v>0.33750000000000002</v>
      </c>
      <c r="E9" s="26">
        <v>0.25572519083969464</v>
      </c>
    </row>
    <row r="10" spans="2:5" x14ac:dyDescent="0.3">
      <c r="B10" s="25" t="s">
        <v>299</v>
      </c>
      <c r="C10" s="26">
        <v>1</v>
      </c>
      <c r="D10" s="26">
        <v>1</v>
      </c>
      <c r="E10" s="26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 filterMode="1"/>
  <dimension ref="B1:F15"/>
  <sheetViews>
    <sheetView workbookViewId="0">
      <selection activeCell="I31" sqref="I31"/>
    </sheetView>
  </sheetViews>
  <sheetFormatPr defaultRowHeight="16.5" x14ac:dyDescent="0.3"/>
  <cols>
    <col min="2" max="2" width="11.5" customWidth="1"/>
    <col min="3" max="3" width="15" customWidth="1"/>
    <col min="4" max="4" width="15.5" customWidth="1"/>
    <col min="5" max="5" width="11.625" customWidth="1"/>
    <col min="6" max="6" width="16.5" customWidth="1"/>
  </cols>
  <sheetData>
    <row r="1" spans="2:6" x14ac:dyDescent="0.3">
      <c r="B1" t="s">
        <v>185</v>
      </c>
    </row>
    <row r="2" spans="2:6" x14ac:dyDescent="0.3">
      <c r="B2" s="19" t="s">
        <v>186</v>
      </c>
      <c r="C2" s="19" t="s">
        <v>187</v>
      </c>
      <c r="D2" s="19" t="s">
        <v>188</v>
      </c>
      <c r="E2" s="19" t="s">
        <v>189</v>
      </c>
      <c r="F2" s="19" t="s">
        <v>190</v>
      </c>
    </row>
    <row r="3" spans="2:6" x14ac:dyDescent="0.3">
      <c r="B3" s="1" t="s">
        <v>199</v>
      </c>
      <c r="C3" s="2">
        <v>44137</v>
      </c>
      <c r="D3" s="18" t="s">
        <v>212</v>
      </c>
      <c r="E3" s="18" t="s">
        <v>191</v>
      </c>
      <c r="F3" s="18" t="s">
        <v>225</v>
      </c>
    </row>
    <row r="4" spans="2:6" x14ac:dyDescent="0.3">
      <c r="B4" s="1" t="s">
        <v>200</v>
      </c>
      <c r="C4" s="2">
        <v>44206</v>
      </c>
      <c r="D4" s="18" t="s">
        <v>213</v>
      </c>
      <c r="E4" s="18" t="s">
        <v>192</v>
      </c>
      <c r="F4" s="18" t="s">
        <v>226</v>
      </c>
    </row>
    <row r="5" spans="2:6" hidden="1" x14ac:dyDescent="0.3">
      <c r="B5" s="1" t="s">
        <v>201</v>
      </c>
      <c r="C5" s="2">
        <v>44291</v>
      </c>
      <c r="D5" s="18" t="s">
        <v>214</v>
      </c>
      <c r="E5" s="18" t="s">
        <v>193</v>
      </c>
      <c r="F5" s="18" t="s">
        <v>227</v>
      </c>
    </row>
    <row r="6" spans="2:6" x14ac:dyDescent="0.3">
      <c r="B6" s="1" t="s">
        <v>202</v>
      </c>
      <c r="C6" s="2">
        <v>44171</v>
      </c>
      <c r="D6" s="18" t="s">
        <v>215</v>
      </c>
      <c r="E6" s="18" t="s">
        <v>194</v>
      </c>
      <c r="F6" s="18" t="s">
        <v>225</v>
      </c>
    </row>
    <row r="7" spans="2:6" x14ac:dyDescent="0.3">
      <c r="B7" s="1" t="s">
        <v>203</v>
      </c>
      <c r="C7" s="2">
        <v>43865</v>
      </c>
      <c r="D7" s="18" t="s">
        <v>216</v>
      </c>
      <c r="E7" s="18" t="s">
        <v>191</v>
      </c>
      <c r="F7" s="18" t="s">
        <v>225</v>
      </c>
    </row>
    <row r="8" spans="2:6" hidden="1" x14ac:dyDescent="0.3">
      <c r="B8" s="1" t="s">
        <v>204</v>
      </c>
      <c r="C8" s="2">
        <v>44228</v>
      </c>
      <c r="D8" s="18" t="s">
        <v>217</v>
      </c>
      <c r="E8" s="18" t="s">
        <v>195</v>
      </c>
      <c r="F8" s="18" t="s">
        <v>228</v>
      </c>
    </row>
    <row r="9" spans="2:6" hidden="1" x14ac:dyDescent="0.3">
      <c r="B9" s="1" t="s">
        <v>205</v>
      </c>
      <c r="C9" s="2">
        <v>44216</v>
      </c>
      <c r="D9" s="18" t="s">
        <v>218</v>
      </c>
      <c r="E9" s="18" t="s">
        <v>196</v>
      </c>
      <c r="F9" s="18" t="s">
        <v>228</v>
      </c>
    </row>
    <row r="10" spans="2:6" x14ac:dyDescent="0.3">
      <c r="B10" s="1" t="s">
        <v>206</v>
      </c>
      <c r="C10" s="2">
        <v>44168</v>
      </c>
      <c r="D10" s="18" t="s">
        <v>219</v>
      </c>
      <c r="E10" s="18" t="s">
        <v>195</v>
      </c>
      <c r="F10" s="18" t="s">
        <v>226</v>
      </c>
    </row>
    <row r="11" spans="2:6" x14ac:dyDescent="0.3">
      <c r="B11" s="1" t="s">
        <v>207</v>
      </c>
      <c r="C11" s="2">
        <v>44221</v>
      </c>
      <c r="D11" s="18" t="s">
        <v>220</v>
      </c>
      <c r="E11" s="18" t="s">
        <v>193</v>
      </c>
      <c r="F11" s="18" t="s">
        <v>229</v>
      </c>
    </row>
    <row r="12" spans="2:6" x14ac:dyDescent="0.3">
      <c r="B12" s="1" t="s">
        <v>208</v>
      </c>
      <c r="C12" s="2">
        <v>44130</v>
      </c>
      <c r="D12" s="18" t="s">
        <v>221</v>
      </c>
      <c r="E12" s="18" t="s">
        <v>195</v>
      </c>
      <c r="F12" s="18" t="s">
        <v>225</v>
      </c>
    </row>
    <row r="13" spans="2:6" hidden="1" x14ac:dyDescent="0.3">
      <c r="B13" s="1" t="s">
        <v>209</v>
      </c>
      <c r="C13" s="2">
        <v>44119</v>
      </c>
      <c r="D13" s="18" t="s">
        <v>222</v>
      </c>
      <c r="E13" s="18" t="s">
        <v>191</v>
      </c>
      <c r="F13" s="18" t="s">
        <v>227</v>
      </c>
    </row>
    <row r="14" spans="2:6" x14ac:dyDescent="0.3">
      <c r="B14" s="1" t="s">
        <v>210</v>
      </c>
      <c r="C14" s="2">
        <v>44123</v>
      </c>
      <c r="D14" s="18" t="s">
        <v>223</v>
      </c>
      <c r="E14" s="18" t="s">
        <v>197</v>
      </c>
      <c r="F14" s="18" t="s">
        <v>225</v>
      </c>
    </row>
    <row r="15" spans="2:6" x14ac:dyDescent="0.3">
      <c r="B15" s="1" t="s">
        <v>211</v>
      </c>
      <c r="C15" s="2">
        <v>44200</v>
      </c>
      <c r="D15" s="18" t="s">
        <v>224</v>
      </c>
      <c r="E15" s="18" t="s">
        <v>198</v>
      </c>
      <c r="F15" s="18" t="s">
        <v>229</v>
      </c>
    </row>
  </sheetData>
  <autoFilter ref="B2:F15" xr:uid="{00000000-0009-0000-0000-000004000000}">
    <filterColumn colId="4">
      <customFilters>
        <customFilter val="*엑셀*"/>
      </customFilters>
    </filterColumn>
  </autoFilter>
  <phoneticPr fontId="1" type="noConversion"/>
  <dataValidations count="1">
    <dataValidation type="list" errorStyle="warning" allowBlank="1" showInputMessage="1" showErrorMessage="1" errorTitle="유형오류" error="유형목록에 없는 내용입니다. 확인하시기 바랍니다." promptTitle="유형" prompt="필기, 실기만 입력가능" sqref="E3:E15" xr:uid="{00000000-0002-0000-0400-000000000000}">
      <formula1>"필기,실기"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F8"/>
  <sheetViews>
    <sheetView topLeftCell="A9" workbookViewId="0">
      <selection activeCell="K34" sqref="K34"/>
    </sheetView>
  </sheetViews>
  <sheetFormatPr defaultRowHeight="16.5" x14ac:dyDescent="0.3"/>
  <cols>
    <col min="2" max="2" width="15.875" bestFit="1" customWidth="1"/>
    <col min="5" max="5" width="10.875" bestFit="1" customWidth="1"/>
  </cols>
  <sheetData>
    <row r="1" spans="2:6" ht="20.25" x14ac:dyDescent="0.3">
      <c r="B1" s="28" t="s">
        <v>177</v>
      </c>
      <c r="C1" s="28"/>
      <c r="D1" s="28"/>
      <c r="E1" s="28"/>
      <c r="F1" s="28"/>
    </row>
    <row r="3" spans="2:6" x14ac:dyDescent="0.3">
      <c r="B3" s="1" t="s">
        <v>176</v>
      </c>
      <c r="C3" s="1" t="s">
        <v>178</v>
      </c>
      <c r="D3" s="1" t="s">
        <v>179</v>
      </c>
      <c r="E3" s="1" t="s">
        <v>180</v>
      </c>
      <c r="F3" s="1" t="s">
        <v>184</v>
      </c>
    </row>
    <row r="4" spans="2:6" x14ac:dyDescent="0.3">
      <c r="B4" s="1" t="s">
        <v>181</v>
      </c>
      <c r="C4" s="4">
        <v>120</v>
      </c>
      <c r="D4" s="4">
        <v>153</v>
      </c>
      <c r="E4" s="4">
        <v>211</v>
      </c>
      <c r="F4" s="12">
        <f>E4/(C4+D4)</f>
        <v>0.77289377289377292</v>
      </c>
    </row>
    <row r="5" spans="2:6" x14ac:dyDescent="0.3">
      <c r="B5" s="1" t="s">
        <v>65</v>
      </c>
      <c r="C5" s="4">
        <v>124</v>
      </c>
      <c r="D5" s="4">
        <v>142</v>
      </c>
      <c r="E5" s="4">
        <v>171</v>
      </c>
      <c r="F5" s="12">
        <f t="shared" ref="F5:F8" si="0">E5/(C5+D5)</f>
        <v>0.6428571428571429</v>
      </c>
    </row>
    <row r="6" spans="2:6" x14ac:dyDescent="0.3">
      <c r="B6" s="1" t="s">
        <v>67</v>
      </c>
      <c r="C6" s="4">
        <v>152</v>
      </c>
      <c r="D6" s="4">
        <v>121</v>
      </c>
      <c r="E6" s="4">
        <v>163</v>
      </c>
      <c r="F6" s="12">
        <f t="shared" si="0"/>
        <v>0.59706959706959706</v>
      </c>
    </row>
    <row r="7" spans="2:6" x14ac:dyDescent="0.3">
      <c r="B7" s="1" t="s">
        <v>182</v>
      </c>
      <c r="C7" s="4">
        <v>132</v>
      </c>
      <c r="D7" s="4">
        <v>112</v>
      </c>
      <c r="E7" s="4">
        <v>189</v>
      </c>
      <c r="F7" s="12">
        <f t="shared" si="0"/>
        <v>0.77459016393442626</v>
      </c>
    </row>
    <row r="8" spans="2:6" x14ac:dyDescent="0.3">
      <c r="B8" s="1" t="s">
        <v>183</v>
      </c>
      <c r="C8" s="4">
        <v>92</v>
      </c>
      <c r="D8" s="4">
        <v>152</v>
      </c>
      <c r="E8" s="4">
        <v>201</v>
      </c>
      <c r="F8" s="12">
        <f t="shared" si="0"/>
        <v>0.82377049180327866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3:G24"/>
  <sheetViews>
    <sheetView workbookViewId="0">
      <selection activeCell="J15" sqref="J15"/>
    </sheetView>
  </sheetViews>
  <sheetFormatPr defaultRowHeight="16.5" x14ac:dyDescent="0.3"/>
  <cols>
    <col min="1" max="1" width="2.125" customWidth="1"/>
    <col min="2" max="2" width="12.5" customWidth="1"/>
    <col min="3" max="3" width="11" customWidth="1"/>
    <col min="4" max="7" width="11.125" customWidth="1"/>
  </cols>
  <sheetData>
    <row r="3" spans="2:7" x14ac:dyDescent="0.3">
      <c r="B3" s="13" t="s">
        <v>292</v>
      </c>
    </row>
    <row r="4" spans="2:7" x14ac:dyDescent="0.3">
      <c r="B4" s="20" t="s">
        <v>267</v>
      </c>
      <c r="C4" s="20" t="s">
        <v>268</v>
      </c>
      <c r="D4" s="20" t="s">
        <v>269</v>
      </c>
      <c r="E4" s="20" t="s">
        <v>270</v>
      </c>
      <c r="F4" s="20" t="s">
        <v>271</v>
      </c>
      <c r="G4" s="20" t="s">
        <v>138</v>
      </c>
    </row>
    <row r="5" spans="2:7" x14ac:dyDescent="0.3">
      <c r="B5" s="1">
        <v>202112001</v>
      </c>
      <c r="C5" s="1" t="s">
        <v>285</v>
      </c>
      <c r="D5" s="1">
        <v>99</v>
      </c>
      <c r="E5" s="1">
        <v>94</v>
      </c>
      <c r="F5" s="1">
        <v>91</v>
      </c>
      <c r="G5" s="27">
        <f>AVERAGE(D5:F5)</f>
        <v>94.666666666666671</v>
      </c>
    </row>
    <row r="6" spans="2:7" x14ac:dyDescent="0.3">
      <c r="B6" s="1">
        <v>202112002</v>
      </c>
      <c r="C6" s="1" t="s">
        <v>284</v>
      </c>
      <c r="D6" s="1">
        <v>85</v>
      </c>
      <c r="E6" s="1">
        <v>91</v>
      </c>
      <c r="F6" s="1">
        <v>91</v>
      </c>
      <c r="G6" s="27">
        <f t="shared" ref="G6:G24" si="0">AVERAGE(D6:F6)</f>
        <v>89</v>
      </c>
    </row>
    <row r="7" spans="2:7" x14ac:dyDescent="0.3">
      <c r="B7" s="1">
        <v>202112003</v>
      </c>
      <c r="C7" s="1" t="s">
        <v>286</v>
      </c>
      <c r="D7" s="1">
        <v>91</v>
      </c>
      <c r="E7" s="1">
        <v>93</v>
      </c>
      <c r="F7" s="1">
        <v>89</v>
      </c>
      <c r="G7" s="27">
        <f t="shared" si="0"/>
        <v>91</v>
      </c>
    </row>
    <row r="8" spans="2:7" x14ac:dyDescent="0.3">
      <c r="B8" s="1">
        <v>202112004</v>
      </c>
      <c r="C8" s="1" t="s">
        <v>272</v>
      </c>
      <c r="D8" s="1">
        <v>92</v>
      </c>
      <c r="E8" s="1">
        <v>99</v>
      </c>
      <c r="F8" s="1">
        <v>97</v>
      </c>
      <c r="G8" s="27">
        <f t="shared" si="0"/>
        <v>96</v>
      </c>
    </row>
    <row r="9" spans="2:7" x14ac:dyDescent="0.3">
      <c r="B9" s="1">
        <v>202112005</v>
      </c>
      <c r="C9" s="1" t="s">
        <v>273</v>
      </c>
      <c r="D9" s="1">
        <v>93</v>
      </c>
      <c r="E9" s="1">
        <v>96</v>
      </c>
      <c r="F9" s="1">
        <v>81</v>
      </c>
      <c r="G9" s="27">
        <f t="shared" si="0"/>
        <v>90</v>
      </c>
    </row>
    <row r="10" spans="2:7" x14ac:dyDescent="0.3">
      <c r="B10" s="1">
        <v>202112006</v>
      </c>
      <c r="C10" s="1" t="s">
        <v>274</v>
      </c>
      <c r="D10" s="1">
        <v>94</v>
      </c>
      <c r="E10" s="1">
        <v>93</v>
      </c>
      <c r="F10" s="1">
        <v>92</v>
      </c>
      <c r="G10" s="27">
        <f t="shared" si="0"/>
        <v>93</v>
      </c>
    </row>
    <row r="11" spans="2:7" x14ac:dyDescent="0.3">
      <c r="B11" s="1">
        <v>202112007</v>
      </c>
      <c r="C11" s="1" t="s">
        <v>275</v>
      </c>
      <c r="D11" s="1">
        <v>94</v>
      </c>
      <c r="E11" s="1">
        <v>92</v>
      </c>
      <c r="F11" s="1">
        <v>95</v>
      </c>
      <c r="G11" s="27">
        <f t="shared" si="0"/>
        <v>93.666666666666671</v>
      </c>
    </row>
    <row r="12" spans="2:7" x14ac:dyDescent="0.3">
      <c r="B12" s="1">
        <v>202112008</v>
      </c>
      <c r="C12" s="1" t="s">
        <v>276</v>
      </c>
      <c r="D12" s="1">
        <v>85</v>
      </c>
      <c r="E12" s="1">
        <v>95</v>
      </c>
      <c r="F12" s="1">
        <v>96</v>
      </c>
      <c r="G12" s="27">
        <f t="shared" si="0"/>
        <v>92</v>
      </c>
    </row>
    <row r="13" spans="2:7" x14ac:dyDescent="0.3">
      <c r="B13" s="1">
        <v>202112009</v>
      </c>
      <c r="C13" s="1" t="s">
        <v>277</v>
      </c>
      <c r="D13" s="1">
        <v>87</v>
      </c>
      <c r="E13" s="1">
        <v>95</v>
      </c>
      <c r="F13" s="1">
        <v>95</v>
      </c>
      <c r="G13" s="27">
        <f t="shared" si="0"/>
        <v>92.333333333333329</v>
      </c>
    </row>
    <row r="14" spans="2:7" x14ac:dyDescent="0.3">
      <c r="B14" s="1">
        <v>202112010</v>
      </c>
      <c r="C14" s="1" t="s">
        <v>278</v>
      </c>
      <c r="D14" s="1">
        <v>86</v>
      </c>
      <c r="E14" s="1">
        <v>97</v>
      </c>
      <c r="F14" s="1">
        <v>97</v>
      </c>
      <c r="G14" s="27">
        <f t="shared" si="0"/>
        <v>93.333333333333329</v>
      </c>
    </row>
    <row r="15" spans="2:7" x14ac:dyDescent="0.3">
      <c r="B15" s="1">
        <v>202112011</v>
      </c>
      <c r="C15" s="1" t="s">
        <v>279</v>
      </c>
      <c r="D15" s="1">
        <v>91</v>
      </c>
      <c r="E15" s="1">
        <v>98</v>
      </c>
      <c r="F15" s="1">
        <v>95</v>
      </c>
      <c r="G15" s="27">
        <f t="shared" si="0"/>
        <v>94.666666666666671</v>
      </c>
    </row>
    <row r="16" spans="2:7" x14ac:dyDescent="0.3">
      <c r="B16" s="1">
        <v>202112012</v>
      </c>
      <c r="C16" s="1" t="s">
        <v>280</v>
      </c>
      <c r="D16" s="1">
        <v>92</v>
      </c>
      <c r="E16" s="1">
        <v>95</v>
      </c>
      <c r="F16" s="1">
        <v>81</v>
      </c>
      <c r="G16" s="27">
        <f t="shared" si="0"/>
        <v>89.333333333333329</v>
      </c>
    </row>
    <row r="17" spans="2:7" x14ac:dyDescent="0.3">
      <c r="B17" s="1">
        <v>202112013</v>
      </c>
      <c r="C17" s="1" t="s">
        <v>281</v>
      </c>
      <c r="D17" s="1">
        <v>91</v>
      </c>
      <c r="E17" s="1">
        <v>93</v>
      </c>
      <c r="F17" s="1">
        <v>82</v>
      </c>
      <c r="G17" s="27">
        <f t="shared" si="0"/>
        <v>88.666666666666671</v>
      </c>
    </row>
    <row r="18" spans="2:7" x14ac:dyDescent="0.3">
      <c r="B18" s="1">
        <v>202112014</v>
      </c>
      <c r="C18" s="1" t="s">
        <v>282</v>
      </c>
      <c r="D18" s="1">
        <v>90</v>
      </c>
      <c r="E18" s="1">
        <v>92</v>
      </c>
      <c r="F18" s="1">
        <v>81</v>
      </c>
      <c r="G18" s="27">
        <f t="shared" si="0"/>
        <v>87.666666666666671</v>
      </c>
    </row>
    <row r="19" spans="2:7" x14ac:dyDescent="0.3">
      <c r="B19" s="1">
        <v>202112015</v>
      </c>
      <c r="C19" s="1" t="s">
        <v>283</v>
      </c>
      <c r="D19" s="1">
        <v>87</v>
      </c>
      <c r="E19" s="1">
        <v>91</v>
      </c>
      <c r="F19" s="1">
        <v>91</v>
      </c>
      <c r="G19" s="27">
        <f t="shared" si="0"/>
        <v>89.666666666666671</v>
      </c>
    </row>
    <row r="20" spans="2:7" x14ac:dyDescent="0.3">
      <c r="B20" s="1">
        <v>202112016</v>
      </c>
      <c r="C20" s="1" t="s">
        <v>287</v>
      </c>
      <c r="D20" s="1">
        <v>88</v>
      </c>
      <c r="E20" s="1">
        <v>90</v>
      </c>
      <c r="F20" s="1">
        <v>97</v>
      </c>
      <c r="G20" s="27">
        <f t="shared" si="0"/>
        <v>91.666666666666671</v>
      </c>
    </row>
    <row r="21" spans="2:7" x14ac:dyDescent="0.3">
      <c r="B21" s="1">
        <v>202112017</v>
      </c>
      <c r="C21" s="1" t="s">
        <v>288</v>
      </c>
      <c r="D21" s="1">
        <v>89</v>
      </c>
      <c r="E21" s="1">
        <v>90</v>
      </c>
      <c r="F21" s="1">
        <v>92</v>
      </c>
      <c r="G21" s="27">
        <f t="shared" si="0"/>
        <v>90.333333333333329</v>
      </c>
    </row>
    <row r="22" spans="2:7" x14ac:dyDescent="0.3">
      <c r="B22" s="1">
        <v>202112018</v>
      </c>
      <c r="C22" s="1" t="s">
        <v>289</v>
      </c>
      <c r="D22" s="1">
        <v>89</v>
      </c>
      <c r="E22" s="1">
        <v>89</v>
      </c>
      <c r="F22" s="1">
        <v>93</v>
      </c>
      <c r="G22" s="27">
        <f t="shared" si="0"/>
        <v>90.333333333333329</v>
      </c>
    </row>
    <row r="23" spans="2:7" x14ac:dyDescent="0.3">
      <c r="B23" s="1">
        <v>202112019</v>
      </c>
      <c r="C23" s="1" t="s">
        <v>290</v>
      </c>
      <c r="D23" s="1">
        <v>91</v>
      </c>
      <c r="E23" s="1">
        <v>88</v>
      </c>
      <c r="F23" s="1">
        <v>95</v>
      </c>
      <c r="G23" s="27">
        <f t="shared" si="0"/>
        <v>91.333333333333329</v>
      </c>
    </row>
    <row r="24" spans="2:7" x14ac:dyDescent="0.3">
      <c r="B24" s="1">
        <v>202112020</v>
      </c>
      <c r="C24" s="1" t="s">
        <v>291</v>
      </c>
      <c r="D24" s="1">
        <v>92</v>
      </c>
      <c r="E24" s="1">
        <v>90</v>
      </c>
      <c r="F24" s="1">
        <v>96</v>
      </c>
      <c r="G24" s="27">
        <f t="shared" si="0"/>
        <v>92.666666666666671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서식적용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서식해제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3:G12"/>
  <sheetViews>
    <sheetView workbookViewId="0">
      <selection activeCell="B18" sqref="B18"/>
    </sheetView>
  </sheetViews>
  <sheetFormatPr defaultRowHeight="16.5" x14ac:dyDescent="0.3"/>
  <cols>
    <col min="1" max="1" width="3.5" customWidth="1"/>
    <col min="2" max="2" width="17.5" customWidth="1"/>
    <col min="7" max="7" width="14.875" customWidth="1"/>
  </cols>
  <sheetData>
    <row r="3" spans="2:7" x14ac:dyDescent="0.3">
      <c r="B3" s="13" t="s">
        <v>234</v>
      </c>
    </row>
    <row r="4" spans="2:7" x14ac:dyDescent="0.3">
      <c r="B4" s="1" t="s">
        <v>235</v>
      </c>
      <c r="C4" s="1" t="s">
        <v>236</v>
      </c>
      <c r="D4" s="1" t="s">
        <v>237</v>
      </c>
      <c r="E4" s="1" t="s">
        <v>238</v>
      </c>
      <c r="F4" s="1" t="s">
        <v>239</v>
      </c>
      <c r="G4" s="1" t="s">
        <v>240</v>
      </c>
    </row>
    <row r="5" spans="2:7" x14ac:dyDescent="0.3">
      <c r="B5" s="1" t="s">
        <v>230</v>
      </c>
      <c r="C5" s="1" t="s">
        <v>245</v>
      </c>
      <c r="D5" s="1" t="s">
        <v>253</v>
      </c>
      <c r="E5" s="1">
        <v>20</v>
      </c>
      <c r="F5" s="1">
        <v>15</v>
      </c>
      <c r="G5" s="1" t="s">
        <v>259</v>
      </c>
    </row>
    <row r="6" spans="2:7" x14ac:dyDescent="0.3">
      <c r="B6" s="1" t="s">
        <v>231</v>
      </c>
      <c r="C6" s="1" t="s">
        <v>246</v>
      </c>
      <c r="D6" s="1" t="s">
        <v>254</v>
      </c>
      <c r="E6" s="1">
        <v>15</v>
      </c>
      <c r="F6" s="1">
        <v>14</v>
      </c>
      <c r="G6" s="1" t="s">
        <v>260</v>
      </c>
    </row>
    <row r="7" spans="2:7" x14ac:dyDescent="0.3">
      <c r="B7" s="1" t="s">
        <v>232</v>
      </c>
      <c r="C7" s="1" t="s">
        <v>249</v>
      </c>
      <c r="D7" s="1" t="s">
        <v>253</v>
      </c>
      <c r="E7" s="1">
        <v>15</v>
      </c>
      <c r="F7" s="1">
        <v>15</v>
      </c>
      <c r="G7" s="1" t="s">
        <v>261</v>
      </c>
    </row>
    <row r="8" spans="2:7" x14ac:dyDescent="0.3">
      <c r="B8" s="1" t="s">
        <v>233</v>
      </c>
      <c r="C8" s="1" t="s">
        <v>248</v>
      </c>
      <c r="D8" s="1" t="s">
        <v>255</v>
      </c>
      <c r="E8" s="1">
        <v>20</v>
      </c>
      <c r="F8" s="1">
        <v>19</v>
      </c>
      <c r="G8" s="1" t="s">
        <v>262</v>
      </c>
    </row>
    <row r="9" spans="2:7" x14ac:dyDescent="0.3">
      <c r="B9" s="1" t="s">
        <v>241</v>
      </c>
      <c r="C9" s="1" t="s">
        <v>247</v>
      </c>
      <c r="D9" s="1" t="s">
        <v>254</v>
      </c>
      <c r="E9" s="1">
        <v>30</v>
      </c>
      <c r="F9" s="1">
        <v>21</v>
      </c>
      <c r="G9" s="1" t="s">
        <v>263</v>
      </c>
    </row>
    <row r="10" spans="2:7" x14ac:dyDescent="0.3">
      <c r="B10" s="1" t="s">
        <v>242</v>
      </c>
      <c r="C10" s="1" t="s">
        <v>250</v>
      </c>
      <c r="D10" s="1" t="s">
        <v>256</v>
      </c>
      <c r="E10" s="1">
        <v>30</v>
      </c>
      <c r="F10" s="1">
        <v>24</v>
      </c>
      <c r="G10" s="1" t="s">
        <v>264</v>
      </c>
    </row>
    <row r="11" spans="2:7" x14ac:dyDescent="0.3">
      <c r="B11" s="1" t="s">
        <v>243</v>
      </c>
      <c r="C11" s="1" t="s">
        <v>251</v>
      </c>
      <c r="D11" s="1" t="s">
        <v>257</v>
      </c>
      <c r="E11" s="1">
        <v>25</v>
      </c>
      <c r="F11" s="1">
        <v>15</v>
      </c>
      <c r="G11" s="1" t="s">
        <v>265</v>
      </c>
    </row>
    <row r="12" spans="2:7" x14ac:dyDescent="0.3">
      <c r="B12" s="1" t="s">
        <v>244</v>
      </c>
      <c r="C12" s="1" t="s">
        <v>252</v>
      </c>
      <c r="D12" s="1" t="s">
        <v>258</v>
      </c>
      <c r="E12" s="1">
        <v>20</v>
      </c>
      <c r="F12" s="1">
        <v>16</v>
      </c>
      <c r="G12" s="1" t="s">
        <v>266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검색">
          <controlPr defaultSize="0" autoLine="0" r:id="rId4">
            <anchor moveWithCells="1">
              <from>
                <xdr:col>4</xdr:col>
                <xdr:colOff>409575</xdr:colOff>
                <xdr:row>0</xdr:row>
                <xdr:rowOff>95250</xdr:rowOff>
              </from>
              <to>
                <xdr:col>6</xdr:col>
                <xdr:colOff>371475</xdr:colOff>
                <xdr:row>2</xdr:row>
                <xdr:rowOff>47625</xdr:rowOff>
              </to>
            </anchor>
          </controlPr>
        </control>
      </mc:Choice>
      <mc:Fallback>
        <control shapeId="8193" r:id="rId3" name="cmd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컨버전스 디지털</cp:lastModifiedBy>
  <cp:lastPrinted>2022-10-21T06:19:08Z</cp:lastPrinted>
  <dcterms:created xsi:type="dcterms:W3CDTF">2022-10-04T13:14:06Z</dcterms:created>
  <dcterms:modified xsi:type="dcterms:W3CDTF">2024-03-12T10:35:18Z</dcterms:modified>
</cp:coreProperties>
</file>