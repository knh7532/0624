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데이터표-2" sheetId="16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6" l="1"/>
  <c r="B5" i="16" s="1"/>
</calcChain>
</file>

<file path=xl/sharedStrings.xml><?xml version="1.0" encoding="utf-8"?>
<sst xmlns="http://schemas.openxmlformats.org/spreadsheetml/2006/main" count="7" uniqueCount="6">
  <si>
    <t>월 불입금액</t>
    <phoneticPr fontId="2" type="noConversion"/>
  </si>
  <si>
    <t>목표금액</t>
    <phoneticPr fontId="2" type="noConversion"/>
  </si>
  <si>
    <t>(연)이자율</t>
    <phoneticPr fontId="2" type="noConversion"/>
  </si>
  <si>
    <t>월 불입금액</t>
  </si>
  <si>
    <t>납부총액</t>
    <phoneticPr fontId="2" type="noConversion"/>
  </si>
  <si>
    <t>목표년수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</si>
</sst>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8" formatCode="0.0%"/>
    <numFmt numFmtId="180" formatCode="#,##0_);[Red]\(#,##0\)"/>
    <numFmt numFmtId="181" formatCode="#,##0&quot;년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41" fontId="0" fillId="0" borderId="0" xfId="3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41" fontId="6" fillId="2" borderId="1" xfId="3" applyFont="1" applyFill="1" applyBorder="1" applyAlignment="1">
      <alignment horizontal="center" vertical="center"/>
    </xf>
    <xf numFmtId="41" fontId="6" fillId="2" borderId="1" xfId="3" applyFont="1" applyFill="1" applyBorder="1" applyAlignment="1">
      <alignment horizontal="left" vertical="center"/>
    </xf>
    <xf numFmtId="42" fontId="0" fillId="0" borderId="1" xfId="4" applyFont="1" applyFill="1" applyBorder="1" applyAlignment="1">
      <alignment vertical="center"/>
    </xf>
    <xf numFmtId="41" fontId="0" fillId="0" borderId="0" xfId="3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6" fontId="0" fillId="0" borderId="1" xfId="3" applyNumberFormat="1" applyFont="1" applyFill="1" applyBorder="1" applyAlignment="1">
      <alignment vertical="center"/>
    </xf>
    <xf numFmtId="6" fontId="0" fillId="0" borderId="0" xfId="3" applyNumberFormat="1" applyFont="1" applyFill="1" applyBorder="1" applyAlignment="1">
      <alignment vertical="center"/>
    </xf>
    <xf numFmtId="178" fontId="0" fillId="0" borderId="1" xfId="0" applyNumberFormat="1" applyFont="1" applyBorder="1" applyAlignment="1">
      <alignment horizontal="center" vertical="center"/>
    </xf>
    <xf numFmtId="180" fontId="0" fillId="0" borderId="1" xfId="3" applyNumberFormat="1" applyFont="1" applyBorder="1" applyAlignment="1">
      <alignment vertical="center"/>
    </xf>
    <xf numFmtId="9" fontId="4" fillId="0" borderId="1" xfId="5" applyFont="1" applyFill="1" applyBorder="1" applyAlignment="1">
      <alignment horizontal="center" vertical="center"/>
    </xf>
    <xf numFmtId="181" fontId="0" fillId="0" borderId="1" xfId="3" applyNumberFormat="1" applyFont="1" applyFill="1" applyBorder="1" applyAlignment="1">
      <alignment horizontal="center" vertical="center"/>
    </xf>
    <xf numFmtId="9" fontId="0" fillId="0" borderId="0" xfId="5" applyFont="1" applyFill="1" applyBorder="1" applyAlignment="1">
      <alignment vertical="center"/>
    </xf>
    <xf numFmtId="41" fontId="0" fillId="0" borderId="0" xfId="3" applyFont="1" applyFill="1" applyBorder="1" applyAlignment="1">
      <alignment horizontal="center" vertical="center"/>
    </xf>
    <xf numFmtId="180" fontId="0" fillId="0" borderId="1" xfId="0" applyNumberFormat="1" applyFont="1" applyBorder="1" applyAlignment="1">
      <alignment vertical="center"/>
    </xf>
  </cellXfs>
  <cellStyles count="6">
    <cellStyle name="백분율" xfId="5" builtinId="5"/>
    <cellStyle name="쉼표 [0]" xfId="3" builtinId="6"/>
    <cellStyle name="쉼표 [0] 2" xfId="2"/>
    <cellStyle name="통화 [0]" xfId="4" builtinId="7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abSelected="1" workbookViewId="0">
      <selection activeCell="B3" sqref="B3"/>
    </sheetView>
  </sheetViews>
  <sheetFormatPr defaultRowHeight="16.5" x14ac:dyDescent="0.3"/>
  <cols>
    <col min="1" max="1" width="12.625" bestFit="1" customWidth="1"/>
    <col min="2" max="2" width="14.375" bestFit="1" customWidth="1"/>
    <col min="5" max="5" width="12.625" bestFit="1" customWidth="1"/>
  </cols>
  <sheetData>
    <row r="1" spans="1:5" x14ac:dyDescent="0.3">
      <c r="A1" s="1"/>
      <c r="B1" s="1"/>
      <c r="C1" s="1"/>
      <c r="D1" s="2"/>
      <c r="E1" s="3"/>
    </row>
    <row r="2" spans="1:5" x14ac:dyDescent="0.3">
      <c r="A2" s="1"/>
      <c r="B2" s="1"/>
      <c r="C2" s="4"/>
      <c r="D2" s="5"/>
      <c r="E2" s="6" t="s">
        <v>0</v>
      </c>
    </row>
    <row r="3" spans="1:5" x14ac:dyDescent="0.3">
      <c r="A3" s="7" t="s">
        <v>1</v>
      </c>
      <c r="B3" s="8">
        <v>10000000</v>
      </c>
      <c r="C3" s="9"/>
      <c r="D3" s="10" t="s">
        <v>2</v>
      </c>
      <c r="E3" s="11"/>
    </row>
    <row r="4" spans="1:5" x14ac:dyDescent="0.3">
      <c r="A4" s="7" t="s">
        <v>3</v>
      </c>
      <c r="B4" s="8">
        <f>PMT($B$6/12,$B$7*12,0,-$B$3)</f>
        <v>277777.77777777775</v>
      </c>
      <c r="C4" s="12"/>
      <c r="D4" s="13">
        <v>0.02</v>
      </c>
      <c r="E4" s="14"/>
    </row>
    <row r="5" spans="1:5" x14ac:dyDescent="0.3">
      <c r="A5" s="7" t="s">
        <v>4</v>
      </c>
      <c r="B5" s="8">
        <f>B4*B7*12</f>
        <v>10000000</v>
      </c>
      <c r="C5" s="9"/>
      <c r="D5" s="13">
        <v>2.5000000000000001E-2</v>
      </c>
      <c r="E5" s="14"/>
    </row>
    <row r="6" spans="1:5" x14ac:dyDescent="0.3">
      <c r="A6" s="7" t="s">
        <v>2</v>
      </c>
      <c r="B6" s="15">
        <v>0</v>
      </c>
      <c r="C6" s="9"/>
      <c r="D6" s="13">
        <v>0.03</v>
      </c>
      <c r="E6" s="14"/>
    </row>
    <row r="7" spans="1:5" x14ac:dyDescent="0.3">
      <c r="A7" s="7" t="s">
        <v>5</v>
      </c>
      <c r="B7" s="16">
        <v>3</v>
      </c>
      <c r="C7" s="17"/>
      <c r="D7" s="13">
        <v>3.5000000000000003E-2</v>
      </c>
      <c r="E7" s="14"/>
    </row>
    <row r="8" spans="1:5" x14ac:dyDescent="0.3">
      <c r="A8" s="1"/>
      <c r="B8" s="1"/>
      <c r="C8" s="18"/>
      <c r="D8" s="13">
        <v>0.04</v>
      </c>
      <c r="E8" s="19"/>
    </row>
    <row r="9" spans="1:5" x14ac:dyDescent="0.3">
      <c r="A9" s="1"/>
      <c r="B9" s="1"/>
      <c r="C9" s="4"/>
      <c r="D9" s="13">
        <v>4.4999999999999998E-2</v>
      </c>
      <c r="E9" s="19"/>
    </row>
    <row r="10" spans="1:5" x14ac:dyDescent="0.3">
      <c r="A10" s="1"/>
      <c r="B10" s="1"/>
      <c r="C10" s="1"/>
      <c r="D10" s="13">
        <v>0.05</v>
      </c>
      <c r="E10" s="19"/>
    </row>
    <row r="11" spans="1:5" x14ac:dyDescent="0.3">
      <c r="A11" s="1"/>
      <c r="B11" s="1"/>
      <c r="C11" s="1"/>
      <c r="D11" s="13">
        <v>5.5E-2</v>
      </c>
      <c r="E11" s="19"/>
    </row>
    <row r="12" spans="1:5" x14ac:dyDescent="0.3">
      <c r="A12" s="1"/>
      <c r="B12" s="1"/>
      <c r="C12" s="1"/>
      <c r="D12" s="13">
        <v>0.06</v>
      </c>
      <c r="E12" s="19"/>
    </row>
    <row r="13" spans="1:5" x14ac:dyDescent="0.3">
      <c r="A13" s="1"/>
      <c r="B13" s="1"/>
      <c r="C13" s="1"/>
      <c r="D13" s="13">
        <v>6.5000000000000002E-2</v>
      </c>
      <c r="E13" s="19"/>
    </row>
    <row r="14" spans="1:5" x14ac:dyDescent="0.3">
      <c r="A14" s="1"/>
      <c r="B14" s="1"/>
      <c r="C14" s="1"/>
      <c r="D14" s="13">
        <v>7.0000000000000007E-2</v>
      </c>
      <c r="E14" s="1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데이터표-2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2020-10-28T07:13:44Z</dcterms:modified>
</cp:coreProperties>
</file>