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작업파일\4장_출제유형02\"/>
    </mc:Choice>
  </mc:AlternateContent>
  <bookViews>
    <workbookView xWindow="0" yWindow="0" windowWidth="23040" windowHeight="9105"/>
  </bookViews>
  <sheets>
    <sheet name="목표값찾기-1" sheetId="11" r:id="rId1"/>
  </sheets>
  <externalReferences>
    <externalReference r:id="rId2"/>
    <externalReference r:id="rId3"/>
  </externalReferences>
  <definedNames>
    <definedName name="구월">'[1]분석작업-2'!#REF!</definedName>
    <definedName name="나이">'[2]분석작업-1'!$C$3</definedName>
    <definedName name="성별">'[2]분석작업-1'!$C$4</definedName>
    <definedName name="월보험료">'[2]분석작업-1'!$D$7</definedName>
    <definedName name="칠월">'[1]분석작업-2'!#REF!</definedName>
    <definedName name="특약">'[2]분석작업-1'!$C$6</definedName>
    <definedName name="팔월">'[1]분석작업-2'!#REF!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11" l="1"/>
  <c r="C5" i="11"/>
  <c r="D5" i="11" s="1"/>
  <c r="E4" i="11"/>
  <c r="G4" i="11" s="1"/>
  <c r="D4" i="11"/>
  <c r="H4" i="11" l="1"/>
  <c r="E5" i="11"/>
  <c r="G5" i="11" s="1"/>
  <c r="C6" i="11"/>
  <c r="D6" i="11" l="1"/>
  <c r="C7" i="11"/>
  <c r="E6" i="11"/>
  <c r="H5" i="11"/>
  <c r="I4" i="11"/>
  <c r="G6" i="11" l="1"/>
  <c r="C8" i="11"/>
  <c r="E7" i="11"/>
  <c r="G7" i="11" s="1"/>
  <c r="D7" i="11"/>
  <c r="I5" i="11"/>
  <c r="D8" i="11" l="1"/>
  <c r="D9" i="11" s="1"/>
  <c r="C9" i="11"/>
  <c r="H6" i="11"/>
  <c r="I7" i="11"/>
  <c r="H7" i="11"/>
  <c r="E8" i="11" l="1"/>
  <c r="I6" i="11"/>
  <c r="G8" i="11" l="1"/>
  <c r="E9" i="11"/>
  <c r="H8" i="11" l="1"/>
  <c r="H9" i="11" s="1"/>
  <c r="G9" i="11"/>
  <c r="I8" i="11" l="1"/>
  <c r="I9" i="11" s="1"/>
</calcChain>
</file>

<file path=xl/sharedStrings.xml><?xml version="1.0" encoding="utf-8"?>
<sst xmlns="http://schemas.openxmlformats.org/spreadsheetml/2006/main" count="18" uniqueCount="18">
  <si>
    <t>세금 적용율</t>
    <phoneticPr fontId="2" type="noConversion"/>
  </si>
  <si>
    <t>손익계산서</t>
    <phoneticPr fontId="2" type="noConversion"/>
  </si>
  <si>
    <t>년도</t>
    <phoneticPr fontId="2" type="noConversion"/>
  </si>
  <si>
    <t>매출액</t>
    <phoneticPr fontId="2" type="noConversion"/>
  </si>
  <si>
    <t>매출원가</t>
    <phoneticPr fontId="2" type="noConversion"/>
  </si>
  <si>
    <t>매출총이익</t>
    <phoneticPr fontId="2" type="noConversion"/>
  </si>
  <si>
    <t>관리비</t>
    <phoneticPr fontId="2" type="noConversion"/>
  </si>
  <si>
    <t>영업이익</t>
    <phoneticPr fontId="2" type="noConversion"/>
  </si>
  <si>
    <t>법인세</t>
    <phoneticPr fontId="2" type="noConversion"/>
  </si>
  <si>
    <t>순이익</t>
    <phoneticPr fontId="2" type="noConversion"/>
  </si>
  <si>
    <t>2015년</t>
    <phoneticPr fontId="2" type="noConversion"/>
  </si>
  <si>
    <r>
      <t>2</t>
    </r>
    <r>
      <rPr>
        <sz val="11"/>
        <color theme="1"/>
        <rFont val="맑은 고딕"/>
        <family val="3"/>
        <charset val="129"/>
        <scheme val="minor"/>
      </rPr>
      <t>016년</t>
    </r>
    <phoneticPr fontId="2" type="noConversion"/>
  </si>
  <si>
    <r>
      <t>2</t>
    </r>
    <r>
      <rPr>
        <sz val="11"/>
        <color theme="1"/>
        <rFont val="맑은 고딕"/>
        <family val="3"/>
        <charset val="129"/>
        <scheme val="minor"/>
      </rPr>
      <t>017년</t>
    </r>
    <phoneticPr fontId="2" type="noConversion"/>
  </si>
  <si>
    <r>
      <t>2</t>
    </r>
    <r>
      <rPr>
        <sz val="11"/>
        <color theme="1"/>
        <rFont val="맑은 고딕"/>
        <family val="3"/>
        <charset val="129"/>
        <scheme val="minor"/>
      </rPr>
      <t>018년</t>
    </r>
    <phoneticPr fontId="2" type="noConversion"/>
  </si>
  <si>
    <r>
      <t>2</t>
    </r>
    <r>
      <rPr>
        <sz val="11"/>
        <color theme="1"/>
        <rFont val="맑은 고딕"/>
        <family val="3"/>
        <charset val="129"/>
        <scheme val="minor"/>
      </rPr>
      <t>019년</t>
    </r>
    <phoneticPr fontId="2" type="noConversion"/>
  </si>
  <si>
    <t>평균</t>
    <phoneticPr fontId="2" type="noConversion"/>
  </si>
  <si>
    <t>연평균 성장율</t>
    <phoneticPr fontId="2" type="noConversion"/>
  </si>
  <si>
    <t>매출 원가율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</si>
</sst>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yyyy&quot;년&quot;\ m&quot;월&quot;\ d&quot;일&quot;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6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2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0" xfId="0" applyFont="1" applyAlignment="1"/>
    <xf numFmtId="0" fontId="9" fillId="0" borderId="0" xfId="0" applyFont="1" applyAlignment="1">
      <alignment vertical="center"/>
    </xf>
    <xf numFmtId="41" fontId="3" fillId="0" borderId="1" xfId="3" applyFont="1" applyBorder="1" applyAlignment="1">
      <alignment vertical="center"/>
    </xf>
    <xf numFmtId="41" fontId="3" fillId="0" borderId="1" xfId="0" applyNumberFormat="1" applyFont="1" applyBorder="1" applyAlignment="1">
      <alignment vertical="center"/>
    </xf>
    <xf numFmtId="176" fontId="3" fillId="0" borderId="1" xfId="4" applyNumberFormat="1" applyFont="1" applyBorder="1" applyAlignment="1">
      <alignment vertical="center"/>
    </xf>
    <xf numFmtId="9" fontId="3" fillId="0" borderId="2" xfId="0" applyNumberFormat="1" applyFont="1" applyBorder="1" applyAlignment="1">
      <alignment horizontal="center" vertical="center"/>
    </xf>
    <xf numFmtId="9" fontId="5" fillId="0" borderId="1" xfId="5" applyFont="1" applyBorder="1" applyAlignment="1">
      <alignment horizontal="center"/>
    </xf>
    <xf numFmtId="9" fontId="5" fillId="0" borderId="3" xfId="5" applyFont="1" applyBorder="1" applyAlignment="1">
      <alignment horizontal="center"/>
    </xf>
    <xf numFmtId="0" fontId="8" fillId="0" borderId="0" xfId="0" applyFont="1" applyAlignment="1">
      <alignment horizontal="center"/>
    </xf>
    <xf numFmtId="177" fontId="3" fillId="0" borderId="0" xfId="0" applyNumberFormat="1" applyFont="1" applyBorder="1" applyAlignment="1">
      <alignment horizontal="center" vertical="center"/>
    </xf>
  </cellXfs>
  <cellStyles count="6">
    <cellStyle name="백분율" xfId="5" builtinId="5"/>
    <cellStyle name="쉼표 [0]" xfId="3" builtinId="6"/>
    <cellStyle name="쉼표 [0] 2" xfId="2"/>
    <cellStyle name="통화 [0]" xfId="4" builtinId="7"/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wner/Downloads/&#52980;&#54876;1&#44553;&#49892;&#44592;_09&#45380;2&#54924;B&#54805;/09&#45380;2&#54924;1&#44553;B&#54805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0%20&#51089;&#50629;&#49892;%200/&#49345;&#44277;&#54924;&#51032;&#49548;/&#52980;&#54876;%201&#44553;/2009&#45380;%20&#52980;&#54876;%201&#44553;%20&#50641;&#49472;/&#47928;&#51228;%205/&#51221;&#45813;/2009-1&#44553;%20&#51221;&#4581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지원자명단"/>
      <sheetName val="사원관리"/>
      <sheetName val="계산작업-1"/>
      <sheetName val="계산작업-2"/>
      <sheetName val="분석작업-1"/>
      <sheetName val="분석작업-2"/>
      <sheetName val="기타작업-1"/>
      <sheetName val="기타작업-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취득자명단"/>
      <sheetName val="임대관리"/>
      <sheetName val="계산작업-1"/>
      <sheetName val="계산작업-2"/>
      <sheetName val="시나리오 요약"/>
      <sheetName val="분석작업-1"/>
      <sheetName val="분석작업-2"/>
      <sheetName val="자급율"/>
      <sheetName val="고과점수"/>
      <sheetName val="기타작업-2"/>
    </sheetNames>
    <sheetDataSet>
      <sheetData sheetId="0"/>
      <sheetData sheetId="1"/>
      <sheetData sheetId="2"/>
      <sheetData sheetId="3"/>
      <sheetData sheetId="4"/>
      <sheetData sheetId="5">
        <row r="3">
          <cell r="C3">
            <v>39</v>
          </cell>
        </row>
        <row r="4">
          <cell r="C4" t="str">
            <v>여</v>
          </cell>
        </row>
        <row r="6">
          <cell r="C6" t="str">
            <v>특약2</v>
          </cell>
        </row>
        <row r="7">
          <cell r="D7">
            <v>18200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2"/>
  <sheetViews>
    <sheetView tabSelected="1" workbookViewId="0">
      <selection activeCell="B3" sqref="B3"/>
    </sheetView>
  </sheetViews>
  <sheetFormatPr defaultRowHeight="16.5"/>
  <cols>
    <col min="1" max="1" width="2.75" customWidth="1"/>
    <col min="2" max="2" width="13" bestFit="1" customWidth="1"/>
    <col min="3" max="3" width="10" bestFit="1" customWidth="1"/>
    <col min="5" max="5" width="10.375" bestFit="1" customWidth="1"/>
  </cols>
  <sheetData>
    <row r="1" spans="1:9" ht="26.25">
      <c r="A1" s="3"/>
      <c r="B1" s="11" t="s">
        <v>1</v>
      </c>
      <c r="C1" s="11"/>
      <c r="D1" s="11"/>
      <c r="E1" s="11"/>
      <c r="F1" s="11"/>
      <c r="G1" s="11"/>
      <c r="H1" s="11"/>
      <c r="I1" s="11"/>
    </row>
    <row r="2" spans="1:9">
      <c r="A2" s="3"/>
      <c r="B2" s="3"/>
      <c r="C2" s="3"/>
      <c r="D2" s="3"/>
      <c r="E2" s="4"/>
      <c r="F2" s="4"/>
      <c r="G2" s="4"/>
      <c r="H2" s="12"/>
      <c r="I2" s="12"/>
    </row>
    <row r="3" spans="1:9">
      <c r="A3" s="3"/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</row>
    <row r="4" spans="1:9">
      <c r="A4" s="3"/>
      <c r="B4" s="1" t="s">
        <v>10</v>
      </c>
      <c r="C4" s="5">
        <v>123500</v>
      </c>
      <c r="D4" s="6">
        <f>C4*$C$12</f>
        <v>51870</v>
      </c>
      <c r="E4" s="6">
        <f>C4-D4</f>
        <v>71630</v>
      </c>
      <c r="F4" s="5">
        <v>6000</v>
      </c>
      <c r="G4" s="6">
        <f>E4-F4</f>
        <v>65630</v>
      </c>
      <c r="H4" s="6">
        <f>G4*$C$10</f>
        <v>15751.199999999999</v>
      </c>
      <c r="I4" s="6">
        <f>ROUND(G4-H4,-2)</f>
        <v>49900</v>
      </c>
    </row>
    <row r="5" spans="1:9">
      <c r="A5" s="3"/>
      <c r="B5" s="1" t="s">
        <v>11</v>
      </c>
      <c r="C5" s="5">
        <f>C4*(1+$C$11)</f>
        <v>133380</v>
      </c>
      <c r="D5" s="6">
        <f>C5*$C$12</f>
        <v>56019.6</v>
      </c>
      <c r="E5" s="6">
        <f>C5-D5</f>
        <v>77360.399999999994</v>
      </c>
      <c r="F5" s="5">
        <v>6000</v>
      </c>
      <c r="G5" s="6">
        <f>E5-F5</f>
        <v>71360.399999999994</v>
      </c>
      <c r="H5" s="6">
        <f>G5*$C$10</f>
        <v>17126.495999999999</v>
      </c>
      <c r="I5" s="6">
        <f>ROUND(G5-H5,-2)</f>
        <v>54200</v>
      </c>
    </row>
    <row r="6" spans="1:9">
      <c r="A6" s="3"/>
      <c r="B6" s="1" t="s">
        <v>12</v>
      </c>
      <c r="C6" s="5">
        <f>C5*(1+$C$11)</f>
        <v>144050.40000000002</v>
      </c>
      <c r="D6" s="6">
        <f>C6*$C$12</f>
        <v>60501.168000000005</v>
      </c>
      <c r="E6" s="6">
        <f>C6-D6</f>
        <v>83549.232000000018</v>
      </c>
      <c r="F6" s="5">
        <v>6000</v>
      </c>
      <c r="G6" s="6">
        <f>E6-F6</f>
        <v>77549.232000000018</v>
      </c>
      <c r="H6" s="6">
        <f>G6*$C$10</f>
        <v>18611.815680000003</v>
      </c>
      <c r="I6" s="6">
        <f>ROUND(G6-H6,-2)</f>
        <v>58900</v>
      </c>
    </row>
    <row r="7" spans="1:9">
      <c r="A7" s="3"/>
      <c r="B7" s="1" t="s">
        <v>13</v>
      </c>
      <c r="C7" s="5">
        <f>C6*(1+$C$11)</f>
        <v>155574.43200000003</v>
      </c>
      <c r="D7" s="6">
        <f>C7*$C$12</f>
        <v>65341.261440000009</v>
      </c>
      <c r="E7" s="6">
        <f>C7-D7</f>
        <v>90233.170560000028</v>
      </c>
      <c r="F7" s="5">
        <v>6000</v>
      </c>
      <c r="G7" s="6">
        <f>E7-F7</f>
        <v>84233.170560000028</v>
      </c>
      <c r="H7" s="6">
        <f>G7*$C$10</f>
        <v>20215.960934400005</v>
      </c>
      <c r="I7" s="6">
        <f>ROUND(G7-H7,-2)</f>
        <v>64000</v>
      </c>
    </row>
    <row r="8" spans="1:9">
      <c r="A8" s="3"/>
      <c r="B8" s="1" t="s">
        <v>14</v>
      </c>
      <c r="C8" s="5">
        <f>C7*(1+$C$11)</f>
        <v>168020.38656000004</v>
      </c>
      <c r="D8" s="6">
        <f>C8*$C$12</f>
        <v>70568.562355200018</v>
      </c>
      <c r="E8" s="6">
        <f>C8-D8</f>
        <v>97451.824204800025</v>
      </c>
      <c r="F8" s="5">
        <v>6000</v>
      </c>
      <c r="G8" s="6">
        <f>E8-F8</f>
        <v>91451.824204800025</v>
      </c>
      <c r="H8" s="6">
        <f>G8*$C$10</f>
        <v>21948.437809152005</v>
      </c>
      <c r="I8" s="6">
        <f>ROUND(G8-H8,-2)</f>
        <v>69500</v>
      </c>
    </row>
    <row r="9" spans="1:9">
      <c r="A9" s="3"/>
      <c r="B9" s="1" t="s">
        <v>15</v>
      </c>
      <c r="C9" s="7">
        <f t="shared" ref="C9:I9" si="0">AVERAGE(C4:C8)</f>
        <v>144905.04371200001</v>
      </c>
      <c r="D9" s="7">
        <f t="shared" si="0"/>
        <v>60860.118359040003</v>
      </c>
      <c r="E9" s="7">
        <f t="shared" si="0"/>
        <v>84044.92535296001</v>
      </c>
      <c r="F9" s="7">
        <f t="shared" si="0"/>
        <v>6000</v>
      </c>
      <c r="G9" s="7">
        <f t="shared" si="0"/>
        <v>78044.92535296001</v>
      </c>
      <c r="H9" s="7">
        <f t="shared" si="0"/>
        <v>18730.782084710401</v>
      </c>
      <c r="I9" s="7">
        <f t="shared" si="0"/>
        <v>59300</v>
      </c>
    </row>
    <row r="10" spans="1:9">
      <c r="A10" s="3"/>
      <c r="B10" s="2" t="s">
        <v>0</v>
      </c>
      <c r="C10" s="8">
        <v>0.24</v>
      </c>
      <c r="D10" s="4"/>
      <c r="E10" s="4"/>
      <c r="F10" s="4"/>
      <c r="G10" s="4"/>
      <c r="H10" s="4"/>
      <c r="I10" s="4"/>
    </row>
    <row r="11" spans="1:9">
      <c r="A11" s="3"/>
      <c r="B11" s="2" t="s">
        <v>16</v>
      </c>
      <c r="C11" s="9">
        <v>0.08</v>
      </c>
      <c r="D11" s="4"/>
      <c r="E11" s="3"/>
      <c r="F11" s="3"/>
      <c r="G11" s="3"/>
      <c r="H11" s="3"/>
      <c r="I11" s="3"/>
    </row>
    <row r="12" spans="1:9">
      <c r="A12" s="3"/>
      <c r="B12" s="2" t="s">
        <v>17</v>
      </c>
      <c r="C12" s="10">
        <v>0.42</v>
      </c>
      <c r="D12" s="4"/>
      <c r="E12" s="3"/>
      <c r="F12" s="3"/>
      <c r="G12" s="3"/>
      <c r="H12" s="3"/>
      <c r="I12" s="3"/>
    </row>
  </sheetData>
  <mergeCells count="2">
    <mergeCell ref="B1:I1"/>
    <mergeCell ref="H2:I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목표값찾기-1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aso404</cp:lastModifiedBy>
  <dcterms:created xsi:type="dcterms:W3CDTF">2020-06-11T06:47:58Z</dcterms:created>
  <dcterms:modified xsi:type="dcterms:W3CDTF">2020-10-28T06:57:23Z</dcterms:modified>
</cp:coreProperties>
</file>