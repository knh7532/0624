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매크로-2" sheetId="8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8" l="1"/>
  <c r="G13" i="8" s="1"/>
  <c r="E12" i="8"/>
  <c r="G12" i="8" s="1"/>
  <c r="E11" i="8"/>
  <c r="G11" i="8" s="1"/>
  <c r="E10" i="8"/>
  <c r="G10" i="8" s="1"/>
  <c r="E9" i="8"/>
  <c r="G9" i="8" s="1"/>
  <c r="E8" i="8"/>
  <c r="G8" i="8" s="1"/>
  <c r="E7" i="8"/>
  <c r="G7" i="8" s="1"/>
  <c r="E6" i="8"/>
  <c r="G6" i="8" s="1"/>
  <c r="E5" i="8"/>
  <c r="G5" i="8" s="1"/>
  <c r="E4" i="8"/>
  <c r="G4" i="8" s="1"/>
  <c r="H8" i="8" l="1"/>
  <c r="I8" i="8" s="1"/>
  <c r="H10" i="8"/>
  <c r="I10" i="8" s="1"/>
  <c r="H4" i="8"/>
  <c r="I4" i="8" s="1"/>
  <c r="H12" i="8"/>
  <c r="I12" i="8" s="1"/>
  <c r="H5" i="8"/>
  <c r="I5" i="8" s="1"/>
  <c r="H9" i="8"/>
  <c r="I9" i="8" s="1"/>
  <c r="H13" i="8"/>
  <c r="I13" i="8" s="1"/>
  <c r="H6" i="8"/>
  <c r="I6" i="8" s="1"/>
  <c r="H7" i="8"/>
  <c r="I7" i="8" s="1"/>
  <c r="H11" i="8"/>
  <c r="I11" i="8" s="1"/>
</calcChain>
</file>

<file path=xl/sharedStrings.xml><?xml version="1.0" encoding="utf-8"?>
<sst xmlns="http://schemas.openxmlformats.org/spreadsheetml/2006/main" count="20" uniqueCount="20">
  <si>
    <t>2018년</t>
  </si>
  <si>
    <t>2019년</t>
  </si>
  <si>
    <t>손익계산서</t>
    <phoneticPr fontId="1" type="noConversion"/>
  </si>
  <si>
    <t>년도</t>
  </si>
  <si>
    <t>매출액</t>
  </si>
  <si>
    <t>매출원가</t>
  </si>
  <si>
    <t>매출총이익</t>
  </si>
  <si>
    <t>관리비</t>
  </si>
  <si>
    <t>영업이익</t>
  </si>
  <si>
    <t>법인세</t>
  </si>
  <si>
    <t>순이익</t>
  </si>
  <si>
    <t>2010년</t>
    <phoneticPr fontId="1" type="noConversion"/>
  </si>
  <si>
    <t>2011년</t>
    <phoneticPr fontId="1" type="noConversion"/>
  </si>
  <si>
    <t>2012년</t>
    <phoneticPr fontId="1" type="noConversion"/>
  </si>
  <si>
    <t>2013년</t>
    <phoneticPr fontId="1" type="noConversion"/>
  </si>
  <si>
    <t>2014년</t>
    <phoneticPr fontId="1" type="noConversion"/>
  </si>
  <si>
    <t>2015년</t>
  </si>
  <si>
    <t>2016년</t>
  </si>
  <si>
    <t>2017년</t>
  </si>
  <si>
    <t>세금 적용율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</si>
</sst>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yyyy&quot;년&quot;\ m&quot;월&quot;\ d&quot;일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9" fontId="3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4"/>
  <sheetViews>
    <sheetView tabSelected="1" workbookViewId="0">
      <selection activeCell="C14" sqref="C14"/>
    </sheetView>
  </sheetViews>
  <sheetFormatPr defaultRowHeight="16.5"/>
  <cols>
    <col min="2" max="2" width="11.625" bestFit="1" customWidth="1"/>
    <col min="3" max="5" width="11.875" bestFit="1" customWidth="1"/>
    <col min="6" max="6" width="10.875" bestFit="1" customWidth="1"/>
    <col min="7" max="7" width="11.875" bestFit="1" customWidth="1"/>
    <col min="8" max="8" width="12" bestFit="1" customWidth="1"/>
    <col min="9" max="9" width="10.875" bestFit="1" customWidth="1"/>
  </cols>
  <sheetData>
    <row r="1" spans="2:9" ht="27" thickBot="1">
      <c r="B1" s="7" t="s">
        <v>2</v>
      </c>
      <c r="C1" s="8"/>
      <c r="D1" s="8"/>
      <c r="E1" s="8"/>
      <c r="F1" s="8"/>
      <c r="G1" s="8"/>
      <c r="H1" s="8"/>
      <c r="I1" s="9"/>
    </row>
    <row r="2" spans="2:9">
      <c r="H2" s="2"/>
      <c r="I2" s="2"/>
    </row>
    <row r="3" spans="2:9"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9</v>
      </c>
      <c r="I3" s="3" t="s">
        <v>10</v>
      </c>
    </row>
    <row r="4" spans="2:9">
      <c r="B4" s="4" t="s">
        <v>11</v>
      </c>
      <c r="C4" s="1">
        <v>25320</v>
      </c>
      <c r="D4" s="1">
        <v>41000</v>
      </c>
      <c r="E4" s="1">
        <f>C4-D4</f>
        <v>-15680</v>
      </c>
      <c r="F4" s="1">
        <v>3000</v>
      </c>
      <c r="G4" s="1">
        <f>E4-F4</f>
        <v>-18680</v>
      </c>
      <c r="H4" s="1">
        <f t="shared" ref="H4:H13" si="0">G4*$C$14</f>
        <v>-4483.2</v>
      </c>
      <c r="I4" s="1">
        <f>ROUND(G4-H4,-2)</f>
        <v>-14200</v>
      </c>
    </row>
    <row r="5" spans="2:9">
      <c r="B5" s="4" t="s">
        <v>12</v>
      </c>
      <c r="C5" s="1">
        <v>35721</v>
      </c>
      <c r="D5" s="1">
        <v>42000</v>
      </c>
      <c r="E5" s="1">
        <f t="shared" ref="E5:E13" si="1">C5-D5</f>
        <v>-6279</v>
      </c>
      <c r="F5" s="1">
        <v>4000</v>
      </c>
      <c r="G5" s="1">
        <f t="shared" ref="G5:G8" si="2">E5-F5</f>
        <v>-10279</v>
      </c>
      <c r="H5" s="1">
        <f t="shared" si="0"/>
        <v>-2466.96</v>
      </c>
      <c r="I5" s="1">
        <f t="shared" ref="I5:I8" si="3">ROUND(G5-H5,-2)</f>
        <v>-7800</v>
      </c>
    </row>
    <row r="6" spans="2:9">
      <c r="B6" s="4" t="s">
        <v>13</v>
      </c>
      <c r="C6" s="1">
        <v>58314</v>
      </c>
      <c r="D6" s="1">
        <v>45000</v>
      </c>
      <c r="E6" s="1">
        <f t="shared" si="1"/>
        <v>13314</v>
      </c>
      <c r="F6" s="1">
        <v>4000</v>
      </c>
      <c r="G6" s="1">
        <f t="shared" si="2"/>
        <v>9314</v>
      </c>
      <c r="H6" s="1">
        <f t="shared" si="0"/>
        <v>2235.36</v>
      </c>
      <c r="I6" s="1">
        <f t="shared" si="3"/>
        <v>7100</v>
      </c>
    </row>
    <row r="7" spans="2:9">
      <c r="B7" s="4" t="s">
        <v>14</v>
      </c>
      <c r="C7" s="1">
        <v>84521</v>
      </c>
      <c r="D7" s="1">
        <v>48000</v>
      </c>
      <c r="E7" s="1">
        <f t="shared" si="1"/>
        <v>36521</v>
      </c>
      <c r="F7" s="1">
        <v>5000</v>
      </c>
      <c r="G7" s="1">
        <f t="shared" si="2"/>
        <v>31521</v>
      </c>
      <c r="H7" s="1">
        <f t="shared" si="0"/>
        <v>7565.04</v>
      </c>
      <c r="I7" s="1">
        <f t="shared" si="3"/>
        <v>24000</v>
      </c>
    </row>
    <row r="8" spans="2:9">
      <c r="B8" s="4" t="s">
        <v>15</v>
      </c>
      <c r="C8" s="1">
        <v>52300</v>
      </c>
      <c r="D8" s="1">
        <v>50000</v>
      </c>
      <c r="E8" s="1">
        <f t="shared" si="1"/>
        <v>2300</v>
      </c>
      <c r="F8" s="1">
        <v>5000</v>
      </c>
      <c r="G8" s="1">
        <f t="shared" si="2"/>
        <v>-2700</v>
      </c>
      <c r="H8" s="1">
        <f t="shared" si="0"/>
        <v>-648</v>
      </c>
      <c r="I8" s="1">
        <f t="shared" si="3"/>
        <v>-2100</v>
      </c>
    </row>
    <row r="9" spans="2:9">
      <c r="B9" s="4" t="s">
        <v>16</v>
      </c>
      <c r="C9" s="1">
        <v>123500</v>
      </c>
      <c r="D9" s="1">
        <v>51870</v>
      </c>
      <c r="E9" s="1">
        <f t="shared" si="1"/>
        <v>71630</v>
      </c>
      <c r="F9" s="1">
        <v>6000</v>
      </c>
      <c r="G9" s="1">
        <f>E9-F9</f>
        <v>65630</v>
      </c>
      <c r="H9" s="1">
        <f t="shared" si="0"/>
        <v>15751.199999999999</v>
      </c>
      <c r="I9" s="1">
        <f>ROUND(G9-H9,-2)</f>
        <v>49900</v>
      </c>
    </row>
    <row r="10" spans="2:9">
      <c r="B10" s="4" t="s">
        <v>17</v>
      </c>
      <c r="C10" s="1">
        <v>138653.38475471697</v>
      </c>
      <c r="D10" s="1">
        <v>58234.421596981127</v>
      </c>
      <c r="E10" s="1">
        <f t="shared" si="1"/>
        <v>80418.963157735852</v>
      </c>
      <c r="F10" s="1">
        <v>6000</v>
      </c>
      <c r="G10" s="1">
        <f t="shared" ref="G10:G13" si="4">E10-F10</f>
        <v>74418.963157735852</v>
      </c>
      <c r="H10" s="1">
        <f t="shared" si="0"/>
        <v>17860.551157856604</v>
      </c>
      <c r="I10" s="1">
        <f t="shared" ref="I10:I13" si="5">ROUND(G10-H10,-2)</f>
        <v>56600</v>
      </c>
    </row>
    <row r="11" spans="2:9">
      <c r="B11" s="4" t="s">
        <v>18</v>
      </c>
      <c r="C11" s="1">
        <v>135000</v>
      </c>
      <c r="D11" s="1">
        <v>128000</v>
      </c>
      <c r="E11" s="1">
        <f t="shared" si="1"/>
        <v>7000</v>
      </c>
      <c r="F11" s="1">
        <v>7000</v>
      </c>
      <c r="G11" s="1">
        <f t="shared" si="4"/>
        <v>0</v>
      </c>
      <c r="H11" s="1">
        <f t="shared" si="0"/>
        <v>0</v>
      </c>
      <c r="I11" s="1">
        <f t="shared" si="5"/>
        <v>0</v>
      </c>
    </row>
    <row r="12" spans="2:9">
      <c r="B12" s="4" t="s">
        <v>0</v>
      </c>
      <c r="C12" s="1">
        <v>174766.22781308019</v>
      </c>
      <c r="D12" s="1">
        <v>73401.815681493681</v>
      </c>
      <c r="E12" s="1">
        <f t="shared" si="1"/>
        <v>101364.4121315865</v>
      </c>
      <c r="F12" s="1">
        <v>7000</v>
      </c>
      <c r="G12" s="1">
        <f t="shared" si="4"/>
        <v>94364.412131586505</v>
      </c>
      <c r="H12" s="1">
        <f t="shared" si="0"/>
        <v>22647.458911580761</v>
      </c>
      <c r="I12" s="1">
        <f t="shared" si="5"/>
        <v>71700</v>
      </c>
    </row>
    <row r="13" spans="2:9">
      <c r="B13" s="4" t="s">
        <v>1</v>
      </c>
      <c r="C13" s="1">
        <v>196209.95163641722</v>
      </c>
      <c r="D13" s="1">
        <v>82408.179687295225</v>
      </c>
      <c r="E13" s="1">
        <f t="shared" si="1"/>
        <v>113801.77194912199</v>
      </c>
      <c r="F13" s="1">
        <v>8000</v>
      </c>
      <c r="G13" s="1">
        <f t="shared" si="4"/>
        <v>105801.77194912199</v>
      </c>
      <c r="H13" s="1">
        <f t="shared" si="0"/>
        <v>25392.425267789276</v>
      </c>
      <c r="I13" s="1">
        <f t="shared" si="5"/>
        <v>80400</v>
      </c>
    </row>
    <row r="14" spans="2:9">
      <c r="B14" s="5" t="s">
        <v>19</v>
      </c>
      <c r="C14" s="6">
        <v>0.24</v>
      </c>
    </row>
  </sheetData>
  <mergeCells count="1">
    <mergeCell ref="B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매크로-2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2020-10-28T07:16:49Z</dcterms:modified>
</cp:coreProperties>
</file>